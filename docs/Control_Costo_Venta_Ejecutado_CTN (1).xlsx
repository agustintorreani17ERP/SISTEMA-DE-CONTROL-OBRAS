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so a paso" sheetId="1" state="visible" r:id="rId3"/>
    <sheet name="1 Coeficiente" sheetId="2" state="visible" r:id="rId4"/>
    <sheet name="Lista MO contratistas" sheetId="3" state="visible" r:id="rId5"/>
    <sheet name="2 Insumos" sheetId="4" state="visible" r:id="rId6"/>
    <sheet name="3 ACU" sheetId="5" state="visible" r:id="rId7"/>
    <sheet name="4 Presupuesto control" sheetId="6" state="visible" r:id="rId8"/>
    <sheet name="5 Medición mes" sheetId="7" state="visible" r:id="rId9"/>
    <sheet name="6 Materiales" sheetId="8" state="visible" r:id="rId10"/>
    <sheet name="7 Costo real mes" sheetId="9" state="visible" r:id="rId11"/>
    <sheet name="8 Resume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<sst xmlns="http://schemas.openxmlformats.org/spreadsheetml/2006/main" count="881" uniqueCount="396">
  <si>
    <t xml:space="preserve">Control de costo vs venta vs ejecutado — Colegio Técnico Nacional</t>
  </si>
  <si>
    <t xml:space="preserve">Método paso a paso con 4 ítems de ejemplo. Guaraníes (Gs). Leé las hojas en este orden.</t>
  </si>
  <si>
    <t xml:space="preserve">Paso</t>
  </si>
  <si>
    <t xml:space="preserve">Hoja</t>
  </si>
  <si>
    <t xml:space="preserve">Qué se hace</t>
  </si>
  <si>
    <t xml:space="preserve">1</t>
  </si>
  <si>
    <t xml:space="preserve">Coeficiente</t>
  </si>
  <si>
    <t xml:space="preserve">Descubrir con qué coeficiente se armó el precio: se divide el precio unitario de la planilla por el costo que está en las columnas ocultas (MO + materiales). Da 1,3454 en los 36 ítems que tienen el detalle.</t>
  </si>
  <si>
    <t xml:space="preserve">2</t>
  </si>
  <si>
    <t xml:space="preserve">Insumos</t>
  </si>
  <si>
    <t xml:space="preserve">Lista de precios de cada material, mano de obra y equipo, y su TIPO: DIRECTO (se asigna al ítem con el remito o certificado), COMÚN (va al stock de la obra y se reparte por consumo teórico) o TIEMPO (equipos, se reparte por uso).</t>
  </si>
  <si>
    <t xml:space="preserve">3</t>
  </si>
  <si>
    <t xml:space="preserve">ACU</t>
  </si>
  <si>
    <t xml:space="preserve">Análisis de costo unitario (la mano de obra sale de la Lista MO contratistas) de cada ítem: consumo por unidad × precio del insumo. Se compara con el costo que usó la oferta. Si el ACU da más, el ítem ya pierde margen antes de empezar (ver viga).</t>
  </si>
  <si>
    <t xml:space="preserve">4</t>
  </si>
  <si>
    <t xml:space="preserve">Presupuesto control</t>
  </si>
  <si>
    <t xml:space="preserve">Por ítem: precio de venta, costo meta (ACU), margen previsto. Todo sin IVA para comparar peras con peras (los costos de la planilla son sin IVA).</t>
  </si>
  <si>
    <t xml:space="preserve">5</t>
  </si>
  <si>
    <t xml:space="preserve">Medición mes</t>
  </si>
  <si>
    <t xml:space="preserve">Cantidad planificada (cronograma) y ejecutada (medición de obra) del mes. Es la MISMA medición que respalda el certificado al cliente.</t>
  </si>
  <si>
    <t xml:space="preserve">6</t>
  </si>
  <si>
    <t xml:space="preserve">Materiales</t>
  </si>
  <si>
    <t xml:space="preserve">Consumo teórico = ejecutado × consumo del ACU. Para los insumos COMUNES se hace inventario: real = stock inicial + compras − stock final. El desvío se valoriza y se alerta si pasa la tolerancia.</t>
  </si>
  <si>
    <t xml:space="preserve">7</t>
  </si>
  <si>
    <t xml:space="preserve">Costo real mes</t>
  </si>
  <si>
    <t xml:space="preserve">Costo real por ítem: MO certificada al subcontratista + materiales DIRECTOS según remitos + materiales COMUNES según consumo teórico + equipos. El desvío de inventario NO va a un ítem: va a 'pérdidas de material'.</t>
  </si>
  <si>
    <t xml:space="preserve">8</t>
  </si>
  <si>
    <t xml:space="preserve">Resumen</t>
  </si>
  <si>
    <t xml:space="preserve">Venta certificada vs costo real vs valor ganado. Índice de costo (IC = VG/CR), índice de plazo (IP = VG/VP), costo proyectado al final y resultado de la obra.</t>
  </si>
  <si>
    <t xml:space="preserve">Convención de colores</t>
  </si>
  <si>
    <t xml:space="preserve">Columna 'Fuente / nota' en Insumos: indica qué precios son supuestos a reemplazar por datos reales.</t>
  </si>
  <si>
    <t xml:space="preserve">Las alertas se muestran en rojo.</t>
  </si>
  <si>
    <t xml:space="preserve">Fuentes: planilla '1.4-1.5-1.6-2.2-2.3_Plan_de_trabajo_CTN.xlsx' (precios, cantidades y costos de las columnas ocultas K–O de la hoja 16)-B3-ELECT). Mano de obra: lista real de precios a contratistas. Precios de materiales, consumos del hormigón y datos del mes son SUPUESTOS de ejemplo.</t>
  </si>
  <si>
    <t xml:space="preserve">Paso 1 · Coeficiente de pase real de la oferta</t>
  </si>
  <si>
    <t xml:space="preserve">Datos reales de la hoja 16)-B3-ELECT (columnas ocultas L = Mano de obra, M = Materiales, N = Costo unitario sin IVA).</t>
  </si>
  <si>
    <t xml:space="preserve">Ítem</t>
  </si>
  <si>
    <t xml:space="preserve">Descripción</t>
  </si>
  <si>
    <t xml:space="preserve">Un.</t>
  </si>
  <si>
    <t xml:space="preserve">PU planilla (Gs, con IVA)</t>
  </si>
  <si>
    <t xml:space="preserve">MO (Gs)</t>
  </si>
  <si>
    <t xml:space="preserve">Materiales (Gs)</t>
  </si>
  <si>
    <t xml:space="preserve">Costo unitario sin IVA (Gs)</t>
  </si>
  <si>
    <t xml:space="preserve">Coeficiente PU / Costo</t>
  </si>
  <si>
    <t xml:space="preserve">1.2.3</t>
  </si>
  <si>
    <t xml:space="preserve">Demolición de mamposterías sin recuperación</t>
  </si>
  <si>
    <t xml:space="preserve">m2</t>
  </si>
  <si>
    <t xml:space="preserve">3.1</t>
  </si>
  <si>
    <t xml:space="preserve">Mampostería de nivelación de 0.30m</t>
  </si>
  <si>
    <t xml:space="preserve">3.3</t>
  </si>
  <si>
    <t xml:space="preserve">Mampostería de elevación ladrillo semiprensado visto ambas caras 0.15m</t>
  </si>
  <si>
    <t xml:space="preserve">3.4</t>
  </si>
  <si>
    <t xml:space="preserve">Mampostería de elevación ladrillo común 0.15m</t>
  </si>
  <si>
    <t xml:space="preserve">3.5</t>
  </si>
  <si>
    <t xml:space="preserve">Mampostería de elevación ladrillo común 0.30m</t>
  </si>
  <si>
    <t xml:space="preserve">2.1</t>
  </si>
  <si>
    <t xml:space="preserve">Aislación horizontal pintura asfáltica 0.15m</t>
  </si>
  <si>
    <t xml:space="preserve">ml</t>
  </si>
  <si>
    <t xml:space="preserve">4.1</t>
  </si>
  <si>
    <t xml:space="preserve">Azotada impermeable</t>
  </si>
  <si>
    <t xml:space="preserve">Coeficiente efectivo</t>
  </si>
  <si>
    <t xml:space="preserve">Descomposición del coeficiente</t>
  </si>
  <si>
    <t xml:space="preserve">Concepto</t>
  </si>
  <si>
    <t xml:space="preserve">Valor</t>
  </si>
  <si>
    <t xml:space="preserve">Cómo se obtiene</t>
  </si>
  <si>
    <t xml:space="preserve">Coef. declarado (celda L2 de la planilla)</t>
  </si>
  <si>
    <t xml:space="preserve">Dato escrito en la planilla</t>
  </si>
  <si>
    <t xml:space="preserve">IVA</t>
  </si>
  <si>
    <t xml:space="preserve">10 % Paraguay</t>
  </si>
  <si>
    <t xml:space="preserve">Coef. declarado con IVA</t>
  </si>
  <si>
    <t xml:space="preserve">1,25 × 1,10</t>
  </si>
  <si>
    <t xml:space="preserve">Coef. efectivo medido</t>
  </si>
  <si>
    <t xml:space="preserve">Promedio de la tabla de arriba</t>
  </si>
  <si>
    <t xml:space="preserve">Ajuste aplicado sobre el precio</t>
  </si>
  <si>
    <t xml:space="preserve">Efectivo ÷ declarado. &lt;1 = rebaja general de precios</t>
  </si>
  <si>
    <t xml:space="preserve">Rebaja general implícita</t>
  </si>
  <si>
    <t xml:space="preserve">Probable ajuste para llegar al monto de contrato</t>
  </si>
  <si>
    <t xml:space="preserve">Coef. de pase SIN IVA (K)</t>
  </si>
  <si>
    <t xml:space="preserve">Precio sin IVA ÷ costo directo</t>
  </si>
  <si>
    <t xml:space="preserve">Margen sobre el costo directo</t>
  </si>
  <si>
    <t xml:space="preserve">Gastos generales + imprevistos + beneficio sobre el costo</t>
  </si>
  <si>
    <t xml:space="preserve">Margen sobre la venta sin IVA</t>
  </si>
  <si>
    <t xml:space="preserve">Qué parte de cada Gs facturado (sin IVA) no es costo directo</t>
  </si>
  <si>
    <t xml:space="preserve">Conclusión: todos los precios = costo directo × 1,3454 (con IVA). Es el 1,375 declarado (1,25 × IVA) con una rebaja de ≈2,15 %. En el resto del presupuesto el costo directo se obtiene como PU ÷ 1,3454; da costos redondos (ej. losa 2.634.000 Gs/m³, viga 2.930.000, pilar 7.400.000), lo que confirma el método.</t>
  </si>
  <si>
    <t xml:space="preserve">Lista de precios de mano de obra a contratistas</t>
  </si>
  <si>
    <t xml:space="preserve">Fuente: PRECIO_MANO_DE_OBRA.pdf (provista por la empresa). Precios por unidad, en Gs.</t>
  </si>
  <si>
    <t xml:space="preserve">Sector</t>
  </si>
  <si>
    <t xml:space="preserve">Precio MO (Gs)</t>
  </si>
  <si>
    <t xml:space="preserve">Usado en ACU</t>
  </si>
  <si>
    <t xml:space="preserve">Planta baja</t>
  </si>
  <si>
    <t xml:space="preserve">1.1</t>
  </si>
  <si>
    <t xml:space="preserve">Limpieza de Terreno. Retiro de escombros</t>
  </si>
  <si>
    <t xml:space="preserve">1.2</t>
  </si>
  <si>
    <t xml:space="preserve">Replanteo y Marcación</t>
  </si>
  <si>
    <t xml:space="preserve">1.3</t>
  </si>
  <si>
    <t xml:space="preserve">Aislación horizontal con pintura asfáltica de 0.15m.</t>
  </si>
  <si>
    <t xml:space="preserve">1.4</t>
  </si>
  <si>
    <t xml:space="preserve">Aislación horizontal con pintura asfáltica de 0,30 m</t>
  </si>
  <si>
    <t xml:space="preserve">1.5</t>
  </si>
  <si>
    <t xml:space="preserve">Aislación horizontal con pintura asfáltica de 0,45 m</t>
  </si>
  <si>
    <t xml:space="preserve">1.6</t>
  </si>
  <si>
    <t xml:space="preserve">Aislación horizontal de baños con Aditivo Hidrófugo Betocem</t>
  </si>
  <si>
    <t xml:space="preserve">1.7</t>
  </si>
  <si>
    <t xml:space="preserve">Mampostería de nivelación de 0.30m.</t>
  </si>
  <si>
    <t xml:space="preserve">1.8</t>
  </si>
  <si>
    <t xml:space="preserve">Doble Mampostería de elevación de 0,15 de ladrillo visto ambas caras (0,30)</t>
  </si>
  <si>
    <t xml:space="preserve">1.9</t>
  </si>
  <si>
    <t xml:space="preserve">Mampostería de elevación de ladrillo común de 0.15m.</t>
  </si>
  <si>
    <t xml:space="preserve">Insumo MOC</t>
  </si>
  <si>
    <t xml:space="preserve">1.10</t>
  </si>
  <si>
    <t xml:space="preserve">Envarillado de mampostería de 6mm a media altura</t>
  </si>
  <si>
    <t xml:space="preserve">1.11</t>
  </si>
  <si>
    <t xml:space="preserve">Envarillado doble de mampostería de 8mm en dinteles de aberturas</t>
  </si>
  <si>
    <t xml:space="preserve">1.12</t>
  </si>
  <si>
    <t xml:space="preserve">1.13</t>
  </si>
  <si>
    <t xml:space="preserve">Revoque interior con hidrófugo para revestimiento en baños</t>
  </si>
  <si>
    <t xml:space="preserve">1.14</t>
  </si>
  <si>
    <t xml:space="preserve">Revoque de mochetas</t>
  </si>
  <si>
    <t xml:space="preserve">1.15</t>
  </si>
  <si>
    <t xml:space="preserve">Contrapiso de cascotes cerámicos de 10cm. Sobre terreno natural. Para baños</t>
  </si>
  <si>
    <t xml:space="preserve">1.16</t>
  </si>
  <si>
    <t xml:space="preserve">Carpeta de nivelación Esp.= 0,03m</t>
  </si>
  <si>
    <t xml:space="preserve">1.17</t>
  </si>
  <si>
    <t xml:space="preserve">Piso de granito reconstituido 30x30 de color gris</t>
  </si>
  <si>
    <t xml:space="preserve">1.18</t>
  </si>
  <si>
    <t xml:space="preserve">Colocacion de piso paver, incluye colchon de triturada sexta</t>
  </si>
  <si>
    <t xml:space="preserve">1.19</t>
  </si>
  <si>
    <t xml:space="preserve">Zócalo de granito reconstituido de color gris (h=10cm)</t>
  </si>
  <si>
    <t xml:space="preserve">1.20</t>
  </si>
  <si>
    <t xml:space="preserve">Revestimiento Cerámico de azulejos tipo piso/pared en muro 20x30cm</t>
  </si>
  <si>
    <t xml:space="preserve">1.21</t>
  </si>
  <si>
    <t xml:space="preserve">Excavación para fundación</t>
  </si>
  <si>
    <t xml:space="preserve">m3</t>
  </si>
  <si>
    <t xml:space="preserve">1.22</t>
  </si>
  <si>
    <t xml:space="preserve">Cimiento de piedra bruta colocada</t>
  </si>
  <si>
    <t xml:space="preserve">1.23</t>
  </si>
  <si>
    <t xml:space="preserve">Viga de H°A°</t>
  </si>
  <si>
    <t xml:space="preserve">Insumo MOW</t>
  </si>
  <si>
    <t xml:space="preserve">1.24</t>
  </si>
  <si>
    <t xml:space="preserve">Mampostería de elevación de ladrillo semiprensado visto una cara de 0,15 m</t>
  </si>
  <si>
    <t xml:space="preserve">Insumo MOV</t>
  </si>
  <si>
    <t xml:space="preserve">1.25</t>
  </si>
  <si>
    <t xml:space="preserve">Mampostería de elevación de ladrillo común 0,30 m</t>
  </si>
  <si>
    <t xml:space="preserve">1.26</t>
  </si>
  <si>
    <t xml:space="preserve">Mampostería de elevación de ladrillo común 0,45 m</t>
  </si>
  <si>
    <t xml:space="preserve">1.27</t>
  </si>
  <si>
    <t xml:space="preserve">Viga cadena superior</t>
  </si>
  <si>
    <t xml:space="preserve">1.28</t>
  </si>
  <si>
    <t xml:space="preserve">Pilar de H°A°</t>
  </si>
  <si>
    <t xml:space="preserve">1.29</t>
  </si>
  <si>
    <t xml:space="preserve">Losa de H°A°</t>
  </si>
  <si>
    <t xml:space="preserve">Insumo MOL</t>
  </si>
  <si>
    <t xml:space="preserve">1.30</t>
  </si>
  <si>
    <t xml:space="preserve">Zapata de H°A°</t>
  </si>
  <si>
    <t xml:space="preserve">1.31</t>
  </si>
  <si>
    <t xml:space="preserve">1.32</t>
  </si>
  <si>
    <t xml:space="preserve">Pintura exterior de paredes al latex nacional</t>
  </si>
  <si>
    <t xml:space="preserve">1.33</t>
  </si>
  <si>
    <t xml:space="preserve">Pintura de techo al latex nacional</t>
  </si>
  <si>
    <t xml:space="preserve">1.34</t>
  </si>
  <si>
    <t xml:space="preserve">Pintura interior de paredes al latex nacional, incluye enduido</t>
  </si>
  <si>
    <t xml:space="preserve">1.35</t>
  </si>
  <si>
    <t xml:space="preserve">Pintura interior de cielorraso/losa al latex nacional, incluye enduido</t>
  </si>
  <si>
    <t xml:space="preserve">1.36</t>
  </si>
  <si>
    <t xml:space="preserve">Pintura de aberturas de madera u marcos al barnis natural</t>
  </si>
  <si>
    <t xml:space="preserve">1.37</t>
  </si>
  <si>
    <t xml:space="preserve">Pintura de aberturas metalicas</t>
  </si>
  <si>
    <t xml:space="preserve">1.38</t>
  </si>
  <si>
    <t xml:space="preserve">Limpieza con acido de ladrillos vistos y posterior proteccion con silicona</t>
  </si>
  <si>
    <t xml:space="preserve">1.39</t>
  </si>
  <si>
    <t xml:space="preserve">Demolición de Aberturas (Puertas)</t>
  </si>
  <si>
    <t xml:space="preserve">un</t>
  </si>
  <si>
    <t xml:space="preserve">1.40</t>
  </si>
  <si>
    <t xml:space="preserve">Demolición de Aberturas (ventanas)</t>
  </si>
  <si>
    <t xml:space="preserve">1.41</t>
  </si>
  <si>
    <t xml:space="preserve">1.42</t>
  </si>
  <si>
    <t xml:space="preserve">Demolición de pilares, vigas de H°A° y escaleras</t>
  </si>
  <si>
    <t xml:space="preserve">1.43</t>
  </si>
  <si>
    <t xml:space="preserve">Demolición de pisos y contrapisos</t>
  </si>
  <si>
    <t xml:space="preserve">1.44</t>
  </si>
  <si>
    <t xml:space="preserve">Demolición de Azulejos</t>
  </si>
  <si>
    <t xml:space="preserve">1.45</t>
  </si>
  <si>
    <t xml:space="preserve">Desmonte de artefactos sanitarios</t>
  </si>
  <si>
    <t xml:space="preserve">1.46</t>
  </si>
  <si>
    <t xml:space="preserve">Demolición de techo de teja con recuperación</t>
  </si>
  <si>
    <t xml:space="preserve">1.47</t>
  </si>
  <si>
    <t xml:space="preserve">Demolición de estructura metálica</t>
  </si>
  <si>
    <t xml:space="preserve">1.48</t>
  </si>
  <si>
    <t xml:space="preserve">Demolición de rampas y losas</t>
  </si>
  <si>
    <t xml:space="preserve">1.49</t>
  </si>
  <si>
    <t xml:space="preserve">Demolición de bachas/lavatorios</t>
  </si>
  <si>
    <t xml:space="preserve">1.50</t>
  </si>
  <si>
    <t xml:space="preserve">Demolición de mamparas</t>
  </si>
  <si>
    <t xml:space="preserve">1.51</t>
  </si>
  <si>
    <t xml:space="preserve">Demolicion de entrepiso de madera sin recuperacion</t>
  </si>
  <si>
    <t xml:space="preserve">Planta alta</t>
  </si>
  <si>
    <t xml:space="preserve">2.2</t>
  </si>
  <si>
    <t xml:space="preserve">2.3</t>
  </si>
  <si>
    <t xml:space="preserve">2.4</t>
  </si>
  <si>
    <t xml:space="preserve">2.5</t>
  </si>
  <si>
    <t xml:space="preserve">2.6</t>
  </si>
  <si>
    <t xml:space="preserve">Mampostería de elevación de ladrillo común de 0.20m.</t>
  </si>
  <si>
    <t xml:space="preserve">2.7</t>
  </si>
  <si>
    <t xml:space="preserve">Mampostería de elevación de ladrillo común de 0.30m.</t>
  </si>
  <si>
    <t xml:space="preserve">2.8</t>
  </si>
  <si>
    <t xml:space="preserve">Mampostería de elevación de ladrillo común de 0.35m.</t>
  </si>
  <si>
    <t xml:space="preserve">2.9</t>
  </si>
  <si>
    <t xml:space="preserve">Mampostería de elevación de ladrillo común de 0.45m.</t>
  </si>
  <si>
    <t xml:space="preserve">2.10</t>
  </si>
  <si>
    <t xml:space="preserve">Mampostería de elevación de ladrillo tipo convocó</t>
  </si>
  <si>
    <t xml:space="preserve">2.11</t>
  </si>
  <si>
    <t xml:space="preserve">2.12</t>
  </si>
  <si>
    <t xml:space="preserve">2.13</t>
  </si>
  <si>
    <t xml:space="preserve">2.14</t>
  </si>
  <si>
    <t xml:space="preserve">Revoque interior a 1 capa a la cal. Terminación fratachada</t>
  </si>
  <si>
    <t xml:space="preserve">2.15</t>
  </si>
  <si>
    <t xml:space="preserve">2.16</t>
  </si>
  <si>
    <t xml:space="preserve">2.17</t>
  </si>
  <si>
    <t xml:space="preserve">Contrapiso de cascotes cerámicos de 10cm. Sobre losa.</t>
  </si>
  <si>
    <t xml:space="preserve">2.18</t>
  </si>
  <si>
    <t xml:space="preserve">Carpeta base para piso cerámico Esp.= 0,03m</t>
  </si>
  <si>
    <t xml:space="preserve">2.19</t>
  </si>
  <si>
    <t xml:space="preserve">Piso de granito rectificado 30x30 de color gris</t>
  </si>
  <si>
    <t xml:space="preserve">2.20</t>
  </si>
  <si>
    <t xml:space="preserve">Zócalo de granito rectificado de color gris (h=10cm)</t>
  </si>
  <si>
    <t xml:space="preserve">2.21</t>
  </si>
  <si>
    <t xml:space="preserve">2.22</t>
  </si>
  <si>
    <t xml:space="preserve">Demolición de mamposterías</t>
  </si>
  <si>
    <t xml:space="preserve">2.23</t>
  </si>
  <si>
    <t xml:space="preserve">Sardinel</t>
  </si>
  <si>
    <t xml:space="preserve">2.24</t>
  </si>
  <si>
    <t xml:space="preserve">Limpieza</t>
  </si>
  <si>
    <t xml:space="preserve">2.25</t>
  </si>
  <si>
    <t xml:space="preserve">Nicho de H°A° de 0.10x0.45</t>
  </si>
  <si>
    <t xml:space="preserve">Paso 2 · Insumos, precios y tipo de imputación</t>
  </si>
  <si>
    <t xml:space="preserve">Precios sin IVA. Los marcados con fondo amarillo son supuestos: reemplazar por cotizaciones reales.</t>
  </si>
  <si>
    <t xml:space="preserve">Código</t>
  </si>
  <si>
    <t xml:space="preserve">Insumo</t>
  </si>
  <si>
    <t xml:space="preserve">Precio (Gs, sin IVA)</t>
  </si>
  <si>
    <t xml:space="preserve">Tipo</t>
  </si>
  <si>
    <t xml:space="preserve">Tolerancia desvío</t>
  </si>
  <si>
    <t xml:space="preserve">Fuente / nota</t>
  </si>
  <si>
    <t xml:space="preserve">LC</t>
  </si>
  <si>
    <t xml:space="preserve">Ladrillo común</t>
  </si>
  <si>
    <t xml:space="preserve">COMÚN</t>
  </si>
  <si>
    <t xml:space="preserve">Supuesto</t>
  </si>
  <si>
    <t xml:space="preserve">LV</t>
  </si>
  <si>
    <t xml:space="preserve">Ladrillo semiprensado visto</t>
  </si>
  <si>
    <t xml:space="preserve">CEM</t>
  </si>
  <si>
    <t xml:space="preserve">Cemento portland (bolsa 50 kg)</t>
  </si>
  <si>
    <t xml:space="preserve">bolsa</t>
  </si>
  <si>
    <t xml:space="preserve">CAL</t>
  </si>
  <si>
    <t xml:space="preserve">Cal hidratada</t>
  </si>
  <si>
    <t xml:space="preserve">kg</t>
  </si>
  <si>
    <t xml:space="preserve">AR</t>
  </si>
  <si>
    <t xml:space="preserve">Arena lavada</t>
  </si>
  <si>
    <t xml:space="preserve">MM</t>
  </si>
  <si>
    <t xml:space="preserve">Materiales menores (hidrófugo, junta tomada)</t>
  </si>
  <si>
    <t xml:space="preserve">-</t>
  </si>
  <si>
    <t xml:space="preserve">Supuesto; sin inventario</t>
  </si>
  <si>
    <t xml:space="preserve">HE</t>
  </si>
  <si>
    <t xml:space="preserve">Hormigón elaborado H21 (fck 210)</t>
  </si>
  <si>
    <t xml:space="preserve">DIRECTO</t>
  </si>
  <si>
    <t xml:space="preserve">Supuesto; se controla por remito</t>
  </si>
  <si>
    <t xml:space="preserve">AC</t>
  </si>
  <si>
    <t xml:space="preserve">Acero CA-50</t>
  </si>
  <si>
    <t xml:space="preserve">Precio usado en la planilla (envarillado: 9.500 Gs/kg)</t>
  </si>
  <si>
    <t xml:space="preserve">AL</t>
  </si>
  <si>
    <t xml:space="preserve">Alambre de atar</t>
  </si>
  <si>
    <t xml:space="preserve">EN</t>
  </si>
  <si>
    <t xml:space="preserve">Encofrado fenólico + puntales (amortizado)</t>
  </si>
  <si>
    <t xml:space="preserve">TIEMPO</t>
  </si>
  <si>
    <t xml:space="preserve">BV</t>
  </si>
  <si>
    <t xml:space="preserve">Bombeo y vibrado</t>
  </si>
  <si>
    <t xml:space="preserve">MOV</t>
  </si>
  <si>
    <t xml:space="preserve">MO mampostería visto 0,15 (subcontrato)</t>
  </si>
  <si>
    <t xml:space="preserve">Lista MO contratistas, ítem 1.24 (visto una cara 0,15, planta baja)</t>
  </si>
  <si>
    <t xml:space="preserve">MOC</t>
  </si>
  <si>
    <t xml:space="preserve">MO mampostería común 0,15 (subcontrato)</t>
  </si>
  <si>
    <t xml:space="preserve">Lista MO contratistas, ítem 1.9 (planta baja)</t>
  </si>
  <si>
    <t xml:space="preserve">MOL</t>
  </si>
  <si>
    <t xml:space="preserve">MO estructura losa (subcontrato)</t>
  </si>
  <si>
    <t xml:space="preserve">Lista MO contratistas, ítem 1.29 Losa de H°A°</t>
  </si>
  <si>
    <t xml:space="preserve">MOW</t>
  </si>
  <si>
    <t xml:space="preserve">MO estructura viga (subcontrato)</t>
  </si>
  <si>
    <t xml:space="preserve">Lista MO contratistas, ítem 1.23 Viga de H°A°</t>
  </si>
  <si>
    <t xml:space="preserve">Paso 3 · Análisis de costo unitario (ACU)</t>
  </si>
  <si>
    <t xml:space="preserve">Consumo por unidad × precio del insumo. Se compara con el costo que usó la oferta (PU ÷ coeficiente efectivo).</t>
  </si>
  <si>
    <t xml:space="preserve">ÍTEM 3.3 (B3) — Mampostería de elevación ladrillo semiprensado visto ambas caras 0,15 m  [m2]</t>
  </si>
  <si>
    <t xml:space="preserve">Consumo por m2</t>
  </si>
  <si>
    <t xml:space="preserve">Precio unit. (Gs)</t>
  </si>
  <si>
    <t xml:space="preserve">Parcial (Gs/m2)</t>
  </si>
  <si>
    <t xml:space="preserve">Grupo</t>
  </si>
  <si>
    <t xml:space="preserve">MAT</t>
  </si>
  <si>
    <t xml:space="preserve">MO</t>
  </si>
  <si>
    <t xml:space="preserve">Mano de obra</t>
  </si>
  <si>
    <t xml:space="preserve">Equipos</t>
  </si>
  <si>
    <t xml:space="preserve">COSTO DIRECTO ACU</t>
  </si>
  <si>
    <t xml:space="preserve">PU de contrato (con IVA)</t>
  </si>
  <si>
    <t xml:space="preserve">Costo usado en la oferta</t>
  </si>
  <si>
    <t xml:space="preserve">Diferencia ACU − oferta</t>
  </si>
  <si>
    <t xml:space="preserve">Venta sin IVA</t>
  </si>
  <si>
    <t xml:space="preserve">Margen previsto s/ venta sin IVA</t>
  </si>
  <si>
    <t xml:space="preserve">Estado</t>
  </si>
  <si>
    <t xml:space="preserve">ÍTEM 3.4 (B3) — Mampostería de elevación ladrillo común 0,15 m  [m2]</t>
  </si>
  <si>
    <t xml:space="preserve">ÍTEM 3.2 (B6 +4,20) — Ejecución de losas de HºAº fck 210 kg/cm²  [m3]</t>
  </si>
  <si>
    <t xml:space="preserve">Consumo por m3</t>
  </si>
  <si>
    <t xml:space="preserve">Parcial (Gs/m3)</t>
  </si>
  <si>
    <t xml:space="preserve">EQ</t>
  </si>
  <si>
    <t xml:space="preserve">ÍTEM 3.3 (B6 +4,20) — Ejecución de vigas de HºAº fck 210 kg/cm²  [m3]</t>
  </si>
  <si>
    <t xml:space="preserve">Paso 4 · Presupuesto de control (venta vs costo meta)</t>
  </si>
  <si>
    <t xml:space="preserve">Montos sin IVA. Costo meta = ACU. El margen del contrato es lo que la obra DEBERÍA ganar si se cumple el ACU.</t>
  </si>
  <si>
    <t xml:space="preserve">Cantidad contrato</t>
  </si>
  <si>
    <t xml:space="preserve">PU venta con IVA</t>
  </si>
  <si>
    <t xml:space="preserve">PU venta sin IVA</t>
  </si>
  <si>
    <t xml:space="preserve">Costo meta unit. (ACU)</t>
  </si>
  <si>
    <t xml:space="preserve">  de él: materiales</t>
  </si>
  <si>
    <t xml:space="preserve">  de él: mano de obra</t>
  </si>
  <si>
    <t xml:space="preserve">  de él: equipos</t>
  </si>
  <si>
    <t xml:space="preserve">Venta total sin IVA</t>
  </si>
  <si>
    <t xml:space="preserve">Costo meta total</t>
  </si>
  <si>
    <t xml:space="preserve">Margen previsto (Gs)</t>
  </si>
  <si>
    <t xml:space="preserve">Margen %</t>
  </si>
  <si>
    <t xml:space="preserve">3.3 (B3)</t>
  </si>
  <si>
    <t xml:space="preserve">Mampostería de elevación ladrillo semiprensado visto ambas caras 0,15 m</t>
  </si>
  <si>
    <t xml:space="preserve">3.4 (B3)</t>
  </si>
  <si>
    <t xml:space="preserve">Mampostería de elevación ladrillo común 0,15 m</t>
  </si>
  <si>
    <t xml:space="preserve">3.2 (B6 +4,20)</t>
  </si>
  <si>
    <t xml:space="preserve">Ejecución de losas de HºAº fck 210 kg/cm²</t>
  </si>
  <si>
    <t xml:space="preserve">3.3 (B6 +4,20)</t>
  </si>
  <si>
    <t xml:space="preserve">Ejecución de vigas de HºAº fck 210 kg/cm²</t>
  </si>
  <si>
    <t xml:space="preserve">TOTAL</t>
  </si>
  <si>
    <t xml:space="preserve">Paso 5 · Medición del mes 3 (planificado vs ejecutado)</t>
  </si>
  <si>
    <t xml:space="preserve">Cantidades del mes. Planificado = cronograma; ejecutado = medición de obra (la misma que va al certificado al cliente). Valores de ejemplo.</t>
  </si>
  <si>
    <t xml:space="preserve">Acum. anterior</t>
  </si>
  <si>
    <t xml:space="preserve">Planificado mes</t>
  </si>
  <si>
    <t xml:space="preserve">Ejecutado mes</t>
  </si>
  <si>
    <t xml:space="preserve">Acum. actual</t>
  </si>
  <si>
    <t xml:space="preserve">% avance acumulado</t>
  </si>
  <si>
    <t xml:space="preserve">Cumplimiento del mes</t>
  </si>
  <si>
    <t xml:space="preserve">Paso 6 · Consumo teórico vs real de materiales</t>
  </si>
  <si>
    <t xml:space="preserve">Teórico = ejecutado × consumo del ACU. COMUNES: real por inventario. DIRECTOS: real por remitos/planilla de doblado del ítem.</t>
  </si>
  <si>
    <t xml:space="preserve">Teórico ítem 3.3 (B3)</t>
  </si>
  <si>
    <t xml:space="preserve">Teórico ítem 3.4 (B3)</t>
  </si>
  <si>
    <t xml:space="preserve">Teórico ítem 3.2 (B6 +4,20)</t>
  </si>
  <si>
    <t xml:space="preserve">Teórico ítem 3.3 (B6 +4,20)</t>
  </si>
  <si>
    <t xml:space="preserve">Teórico total</t>
  </si>
  <si>
    <t xml:space="preserve">B) Insumos COMUNES: inventario del mes</t>
  </si>
  <si>
    <t xml:space="preserve">Stock inicial</t>
  </si>
  <si>
    <t xml:space="preserve">Compras del mes</t>
  </si>
  <si>
    <t xml:space="preserve">Stock final (conteo)</t>
  </si>
  <si>
    <t xml:space="preserve">Consumo real</t>
  </si>
  <si>
    <t xml:space="preserve">Consumo teórico</t>
  </si>
  <si>
    <t xml:space="preserve">Desvío (cant.)</t>
  </si>
  <si>
    <t xml:space="preserve">Desvío %</t>
  </si>
  <si>
    <t xml:space="preserve">Tolerancia</t>
  </si>
  <si>
    <t xml:space="preserve">Desvío valorizado (Gs)</t>
  </si>
  <si>
    <t xml:space="preserve">Pérdida total</t>
  </si>
  <si>
    <t xml:space="preserve">C) Insumos DIRECTOS: remitos y planillas de doblado por ítem</t>
  </si>
  <si>
    <t xml:space="preserve">Real según remitos</t>
  </si>
  <si>
    <t xml:space="preserve">Teórico</t>
  </si>
  <si>
    <t xml:space="preserve">Precio real (Gs)</t>
  </si>
  <si>
    <t xml:space="preserve">Costo real (Gs)</t>
  </si>
  <si>
    <t xml:space="preserve">Paso 7 · Costo real del mes por ítem</t>
  </si>
  <si>
    <t xml:space="preserve">MO: certificado del subcontratista. Directos: remitos. Comunes y equipos: consumo teórico valorizado. El desvío de inventario va aparte (pérdidas).</t>
  </si>
  <si>
    <t xml:space="preserve">Ejecutado</t>
  </si>
  <si>
    <t xml:space="preserve">Precio MO subcontrato (Gs/un)</t>
  </si>
  <si>
    <t xml:space="preserve">MO certificada (Gs)</t>
  </si>
  <si>
    <t xml:space="preserve">Materiales directos (remitos)</t>
  </si>
  <si>
    <t xml:space="preserve">Materiales comunes (teórico)</t>
  </si>
  <si>
    <t xml:space="preserve">Equipos (teórico)</t>
  </si>
  <si>
    <t xml:space="preserve">COSTO REAL (Gs)</t>
  </si>
  <si>
    <t xml:space="preserve">Costo real unitario</t>
  </si>
  <si>
    <t xml:space="preserve">Subtotal ítems</t>
  </si>
  <si>
    <t xml:space="preserve">Pérdidas de material (desvío de inventario, no se imputa a ítems)</t>
  </si>
  <si>
    <t xml:space="preserve">COSTO REAL TOTAL DEL MES</t>
  </si>
  <si>
    <t xml:space="preserve">Paso 8 · Venta vs costo vs ejecutado — Mes 3</t>
  </si>
  <si>
    <t xml:space="preserve">Todo sin IVA. VG = valor ganado (ejecutado × costo meta). VP = planificado × costo meta. CR = costo real.</t>
  </si>
  <si>
    <t xml:space="preserve">Certificado al cliente sin IVA (Gs)</t>
  </si>
  <si>
    <t xml:space="preserve">Valor planificado VP</t>
  </si>
  <si>
    <t xml:space="preserve">Valor ganado VG</t>
  </si>
  <si>
    <t xml:space="preserve">Costo real CR</t>
  </si>
  <si>
    <t xml:space="preserve">Margen real del mes (Gs)</t>
  </si>
  <si>
    <t xml:space="preserve">Margen real %</t>
  </si>
  <si>
    <t xml:space="preserve">Margen previsto %</t>
  </si>
  <si>
    <t xml:space="preserve">Índice costo IC = VG/CR</t>
  </si>
  <si>
    <t xml:space="preserve">Índice plazo IP = VG/VP</t>
  </si>
  <si>
    <t xml:space="preserve">Costo proyectado al final (Gs)</t>
  </si>
  <si>
    <t xml:space="preserve">Resultado proyectado del ítem (Gs)</t>
  </si>
  <si>
    <t xml:space="preserve">Diagnóstico</t>
  </si>
  <si>
    <t xml:space="preserve">Pérdidas de material del mes</t>
  </si>
  <si>
    <t xml:space="preserve">RESULTADO DEL MES</t>
  </si>
  <si>
    <t xml:space="preserve">Cómo leerlo:</t>
  </si>
  <si>
    <t xml:space="preserve">• Certificado − Costo real = lo que realmente ganaste este mes en cada ítem.</t>
  </si>
  <si>
    <t xml:space="preserve">• IC &lt; 1: cada Gs de trabajo hecho te costó más de lo presupuestado. IP &lt; 1: hiciste menos de lo planificado.</t>
  </si>
  <si>
    <t xml:space="preserve">• Costo proyectado = costo meta total ÷ IC: si el ítem sigue igual, cuánto te va a costar terminarlo.</t>
  </si>
  <si>
    <t xml:space="preserve">• Las pérdidas de material se muestran aparte: no ensucian el costo de los ítems, pero sí bajan el resultado de la obra.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</si>
</sst>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000"/>
    <numFmt numFmtId="167" formatCode="0.0%;\(0.0%\);\-"/>
    <numFmt numFmtId="168" formatCode="#,##0.000"/>
    <numFmt numFmtId="169" formatCode="#,##0.00;\(#,##0.00\);\-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medium"/>
      <bottom style="medium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color rgb="FF0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42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48" hidden="false" customHeight="true" outlineLevel="0" collapsed="false">
      <c r="A5" s="5" t="s">
        <v>5</v>
      </c>
      <c r="B5" s="6" t="s">
        <v>6</v>
      </c>
      <c r="C5" s="7" t="s">
        <v>7</v>
      </c>
    </row>
    <row r="6" customFormat="false" ht="48" hidden="false" customHeight="true" outlineLevel="0" collapsed="false">
      <c r="A6" s="5" t="s">
        <v>8</v>
      </c>
      <c r="B6" s="6" t="s">
        <v>9</v>
      </c>
      <c r="C6" s="7" t="s">
        <v>10</v>
      </c>
    </row>
    <row r="7" customFormat="false" ht="48" hidden="false" customHeight="true" outlineLevel="0" collapsed="false">
      <c r="A7" s="5" t="s">
        <v>11</v>
      </c>
      <c r="B7" s="6" t="s">
        <v>12</v>
      </c>
      <c r="C7" s="7" t="s">
        <v>13</v>
      </c>
    </row>
    <row r="8" customFormat="false" ht="48" hidden="false" customHeight="true" outlineLevel="0" collapsed="false">
      <c r="A8" s="5" t="s">
        <v>14</v>
      </c>
      <c r="B8" s="6" t="s">
        <v>15</v>
      </c>
      <c r="C8" s="7" t="s">
        <v>16</v>
      </c>
    </row>
    <row r="9" customFormat="false" ht="48" hidden="false" customHeight="true" outlineLevel="0" collapsed="false">
      <c r="A9" s="5" t="s">
        <v>17</v>
      </c>
      <c r="B9" s="6" t="s">
        <v>18</v>
      </c>
      <c r="C9" s="7" t="s">
        <v>19</v>
      </c>
    </row>
    <row r="10" customFormat="false" ht="48" hidden="false" customHeight="true" outlineLevel="0" collapsed="false">
      <c r="A10" s="5" t="s">
        <v>20</v>
      </c>
      <c r="B10" s="6" t="s">
        <v>21</v>
      </c>
      <c r="C10" s="7" t="s">
        <v>22</v>
      </c>
    </row>
    <row r="11" customFormat="false" ht="48" hidden="false" customHeight="true" outlineLevel="0" collapsed="false">
      <c r="A11" s="5" t="s">
        <v>23</v>
      </c>
      <c r="B11" s="6" t="s">
        <v>24</v>
      </c>
      <c r="C11" s="7" t="s">
        <v>25</v>
      </c>
    </row>
    <row r="12" customFormat="false" ht="48" hidden="false" customHeight="true" outlineLevel="0" collapsed="false">
      <c r="A12" s="5" t="s">
        <v>26</v>
      </c>
      <c r="B12" s="6" t="s">
        <v>27</v>
      </c>
      <c r="C12" s="7" t="s">
        <v>28</v>
      </c>
    </row>
    <row r="13" customFormat="false" ht="15" hidden="false" customHeight="false" outlineLevel="0" collapsed="false">
      <c r="A13" s="2"/>
      <c r="B13" s="2"/>
      <c r="C13" s="2"/>
    </row>
    <row r="14" customFormat="false" ht="15" hidden="false" customHeight="false" outlineLevel="0" collapsed="false">
      <c r="A14" s="2"/>
      <c r="B14" s="2"/>
      <c r="C14" s="2"/>
    </row>
    <row r="15" customFormat="false" ht="15" hidden="false" customHeight="false" outlineLevel="0" collapsed="false">
      <c r="A15" s="8" t="s">
        <v>29</v>
      </c>
      <c r="B15" s="2"/>
      <c r="C15" s="2"/>
    </row>
    <row r="16" customFormat="false" ht="15" hidden="false" customHeight="false" outlineLevel="0" collapsed="false">
      <c r="A16" s="9" t="s">
        <v>30</v>
      </c>
      <c r="B16" s="2"/>
      <c r="C16" s="2"/>
    </row>
    <row r="17" customFormat="false" ht="15" hidden="false" customHeight="false" outlineLevel="0" collapsed="false">
      <c r="A17" s="9" t="s">
        <v>31</v>
      </c>
      <c r="B17" s="2"/>
      <c r="C17" s="2"/>
    </row>
    <row r="18" customFormat="false" ht="15" hidden="false" customHeight="false" outlineLevel="0" collapsed="false">
      <c r="A18" s="2"/>
      <c r="B18" s="2"/>
      <c r="C18" s="2"/>
    </row>
    <row r="19" customFormat="false" ht="15" hidden="false" customHeight="false" outlineLevel="0" collapsed="false">
      <c r="A19" s="2"/>
      <c r="B19" s="2"/>
      <c r="C19" s="2"/>
    </row>
    <row r="20" customFormat="false" ht="15" hidden="false" customHeight="false" outlineLevel="0" collapsed="false">
      <c r="A20" s="2"/>
      <c r="B20" s="2"/>
      <c r="C20" s="2"/>
    </row>
    <row r="21" customFormat="false" ht="15" hidden="false" customHeight="false" outlineLevel="0" collapsed="false">
      <c r="A21" s="3" t="s">
        <v>32</v>
      </c>
      <c r="B21" s="2"/>
      <c r="C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58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33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34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42" hidden="false" customHeight="true" outlineLevel="0" collapsed="false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  <c r="H4" s="4" t="s">
        <v>42</v>
      </c>
    </row>
    <row r="5" customFormat="false" ht="15" hidden="false" customHeight="false" outlineLevel="0" collapsed="false">
      <c r="A5" s="5" t="s">
        <v>43</v>
      </c>
      <c r="B5" s="5" t="s">
        <v>44</v>
      </c>
      <c r="C5" s="5" t="s">
        <v>45</v>
      </c>
      <c r="D5" s="10" t="n">
        <v>29060.61929694</v>
      </c>
      <c r="E5" s="10" t="n">
        <v>21600</v>
      </c>
      <c r="F5" s="10" t="n">
        <v>0</v>
      </c>
      <c r="G5" s="10" t="n">
        <f aca="false">E5+F5</f>
        <v>21600</v>
      </c>
      <c r="H5" s="11" t="n">
        <f aca="false">IFERROR(D5/G5,0)</f>
        <v>1.345399041525</v>
      </c>
    </row>
    <row r="6" customFormat="false" ht="15" hidden="false" customHeight="false" outlineLevel="0" collapsed="false">
      <c r="A6" s="5" t="s">
        <v>46</v>
      </c>
      <c r="B6" s="5" t="s">
        <v>47</v>
      </c>
      <c r="C6" s="5" t="s">
        <v>45</v>
      </c>
      <c r="D6" s="10" t="n">
        <v>230063.236100775</v>
      </c>
      <c r="E6" s="10" t="n">
        <v>52000</v>
      </c>
      <c r="F6" s="10" t="n">
        <v>119000</v>
      </c>
      <c r="G6" s="10" t="n">
        <f aca="false">E6+F6</f>
        <v>171000</v>
      </c>
      <c r="H6" s="11" t="n">
        <f aca="false">IFERROR(D6/G6,0)</f>
        <v>1.345399041525</v>
      </c>
    </row>
    <row r="7" customFormat="false" ht="15" hidden="false" customHeight="false" outlineLevel="0" collapsed="false">
      <c r="A7" s="5" t="s">
        <v>48</v>
      </c>
      <c r="B7" s="5" t="s">
        <v>49</v>
      </c>
      <c r="C7" s="5" t="s">
        <v>45</v>
      </c>
      <c r="D7" s="10" t="n">
        <v>228717.83705925</v>
      </c>
      <c r="E7" s="10" t="n">
        <v>70000</v>
      </c>
      <c r="F7" s="10" t="n">
        <v>100000</v>
      </c>
      <c r="G7" s="10" t="n">
        <f aca="false">E7+F7</f>
        <v>170000</v>
      </c>
      <c r="H7" s="11" t="n">
        <f aca="false">IFERROR(D7/G7,0)</f>
        <v>1.345399041525</v>
      </c>
    </row>
    <row r="8" customFormat="false" ht="15" hidden="false" customHeight="false" outlineLevel="0" collapsed="false">
      <c r="A8" s="5" t="s">
        <v>50</v>
      </c>
      <c r="B8" s="5" t="s">
        <v>51</v>
      </c>
      <c r="C8" s="5" t="s">
        <v>45</v>
      </c>
      <c r="D8" s="10" t="n">
        <v>127090.429659576</v>
      </c>
      <c r="E8" s="10" t="n">
        <v>35000</v>
      </c>
      <c r="F8" s="10" t="n">
        <v>59463</v>
      </c>
      <c r="G8" s="10" t="n">
        <f aca="false">E8+F8</f>
        <v>94463</v>
      </c>
      <c r="H8" s="11" t="n">
        <f aca="false">IFERROR(D8/G8,0)</f>
        <v>1.345399041525</v>
      </c>
    </row>
    <row r="9" customFormat="false" ht="15" hidden="false" customHeight="false" outlineLevel="0" collapsed="false">
      <c r="A9" s="5" t="s">
        <v>52</v>
      </c>
      <c r="B9" s="5" t="s">
        <v>53</v>
      </c>
      <c r="C9" s="5" t="s">
        <v>45</v>
      </c>
      <c r="D9" s="10" t="n">
        <v>234099.43322535</v>
      </c>
      <c r="E9" s="10" t="n">
        <v>55000</v>
      </c>
      <c r="F9" s="10" t="n">
        <v>119000</v>
      </c>
      <c r="G9" s="10" t="n">
        <f aca="false">E9+F9</f>
        <v>174000</v>
      </c>
      <c r="H9" s="11" t="n">
        <f aca="false">IFERROR(D9/G9,0)</f>
        <v>1.345399041525</v>
      </c>
    </row>
    <row r="10" customFormat="false" ht="15" hidden="false" customHeight="false" outlineLevel="0" collapsed="false">
      <c r="A10" s="5" t="s">
        <v>54</v>
      </c>
      <c r="B10" s="5" t="s">
        <v>55</v>
      </c>
      <c r="C10" s="5" t="s">
        <v>56</v>
      </c>
      <c r="D10" s="10" t="n">
        <v>32721.4500889295</v>
      </c>
      <c r="E10" s="10" t="n">
        <v>18700</v>
      </c>
      <c r="F10" s="10" t="n">
        <v>5621</v>
      </c>
      <c r="G10" s="10" t="n">
        <f aca="false">E10+F10</f>
        <v>24321</v>
      </c>
      <c r="H10" s="11" t="n">
        <f aca="false">IFERROR(D10/G10,0)</f>
        <v>1.345399041525</v>
      </c>
    </row>
    <row r="11" customFormat="false" ht="15" hidden="false" customHeight="false" outlineLevel="0" collapsed="false">
      <c r="A11" s="5" t="s">
        <v>57</v>
      </c>
      <c r="B11" s="5" t="s">
        <v>58</v>
      </c>
      <c r="C11" s="5" t="s">
        <v>45</v>
      </c>
      <c r="D11" s="10" t="n">
        <v>16144.7884983</v>
      </c>
      <c r="E11" s="10" t="n">
        <v>7000</v>
      </c>
      <c r="F11" s="10" t="n">
        <v>5000</v>
      </c>
      <c r="G11" s="10" t="n">
        <f aca="false">E11+F11</f>
        <v>12000</v>
      </c>
      <c r="H11" s="11" t="n">
        <f aca="false">IFERROR(D11/G11,0)</f>
        <v>1.345399041525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6" t="s">
        <v>59</v>
      </c>
      <c r="H12" s="12" t="n">
        <f aca="false">AVERAGE(H5:H11)</f>
        <v>1.345399041525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13" t="s">
        <v>60</v>
      </c>
      <c r="B14" s="2"/>
      <c r="C14" s="2"/>
      <c r="D14" s="2"/>
      <c r="E14" s="2"/>
      <c r="F14" s="2"/>
      <c r="G14" s="2"/>
      <c r="H14" s="2"/>
    </row>
    <row r="15" customFormat="false" ht="42" hidden="false" customHeight="true" outlineLevel="0" collapsed="false">
      <c r="A15" s="4" t="s">
        <v>61</v>
      </c>
      <c r="B15" s="4" t="s">
        <v>62</v>
      </c>
      <c r="C15" s="4" t="s">
        <v>63</v>
      </c>
      <c r="D15" s="2"/>
      <c r="E15" s="2"/>
      <c r="F15" s="2"/>
      <c r="G15" s="2"/>
      <c r="H15" s="2"/>
    </row>
    <row r="16" customFormat="false" ht="15" hidden="false" customHeight="false" outlineLevel="0" collapsed="false">
      <c r="A16" s="5" t="s">
        <v>64</v>
      </c>
      <c r="B16" s="11" t="n">
        <v>1.25</v>
      </c>
      <c r="C16" s="5" t="s">
        <v>65</v>
      </c>
      <c r="D16" s="2"/>
      <c r="E16" s="2"/>
      <c r="F16" s="2"/>
      <c r="G16" s="2"/>
      <c r="H16" s="2"/>
    </row>
    <row r="17" customFormat="false" ht="15" hidden="false" customHeight="false" outlineLevel="0" collapsed="false">
      <c r="A17" s="5" t="s">
        <v>66</v>
      </c>
      <c r="B17" s="11" t="n">
        <v>1.1</v>
      </c>
      <c r="C17" s="5" t="s">
        <v>67</v>
      </c>
      <c r="D17" s="2"/>
      <c r="E17" s="2"/>
      <c r="F17" s="2"/>
      <c r="G17" s="2"/>
      <c r="H17" s="2"/>
    </row>
    <row r="18" customFormat="false" ht="15" hidden="false" customHeight="false" outlineLevel="0" collapsed="false">
      <c r="A18" s="5" t="s">
        <v>68</v>
      </c>
      <c r="B18" s="11" t="n">
        <f aca="false">B16*B17</f>
        <v>1.375</v>
      </c>
      <c r="C18" s="5" t="s">
        <v>69</v>
      </c>
      <c r="D18" s="2"/>
      <c r="E18" s="2"/>
      <c r="F18" s="2"/>
      <c r="G18" s="2"/>
      <c r="H18" s="2"/>
    </row>
    <row r="19" customFormat="false" ht="15" hidden="false" customHeight="false" outlineLevel="0" collapsed="false">
      <c r="A19" s="6" t="s">
        <v>70</v>
      </c>
      <c r="B19" s="11" t="n">
        <f aca="false">'1 Coeficiente'!$H$12</f>
        <v>1.345399041525</v>
      </c>
      <c r="C19" s="5" t="s">
        <v>71</v>
      </c>
      <c r="D19" s="2"/>
      <c r="E19" s="2"/>
      <c r="F19" s="2"/>
      <c r="G19" s="2"/>
      <c r="H19" s="2"/>
    </row>
    <row r="20" customFormat="false" ht="15" hidden="false" customHeight="false" outlineLevel="0" collapsed="false">
      <c r="A20" s="5" t="s">
        <v>72</v>
      </c>
      <c r="B20" s="11" t="n">
        <f aca="false">B19/B18</f>
        <v>0.9784720302</v>
      </c>
      <c r="C20" s="5" t="s">
        <v>73</v>
      </c>
      <c r="D20" s="2"/>
      <c r="E20" s="2"/>
      <c r="F20" s="2"/>
      <c r="G20" s="2"/>
      <c r="H20" s="2"/>
    </row>
    <row r="21" customFormat="false" ht="15" hidden="false" customHeight="false" outlineLevel="0" collapsed="false">
      <c r="A21" s="5" t="s">
        <v>74</v>
      </c>
      <c r="B21" s="14" t="n">
        <f aca="false">1-B20</f>
        <v>0.0215279697999999</v>
      </c>
      <c r="C21" s="5" t="s">
        <v>75</v>
      </c>
      <c r="D21" s="2"/>
      <c r="E21" s="2"/>
      <c r="F21" s="2"/>
      <c r="G21" s="2"/>
      <c r="H21" s="2"/>
    </row>
    <row r="22" customFormat="false" ht="15" hidden="false" customHeight="false" outlineLevel="0" collapsed="false">
      <c r="A22" s="6" t="s">
        <v>76</v>
      </c>
      <c r="B22" s="11" t="n">
        <f aca="false">B19/B17</f>
        <v>1.22309003775</v>
      </c>
      <c r="C22" s="5" t="s">
        <v>77</v>
      </c>
      <c r="D22" s="2"/>
      <c r="E22" s="2"/>
      <c r="F22" s="2"/>
      <c r="G22" s="2"/>
      <c r="H22" s="2"/>
    </row>
    <row r="23" customFormat="false" ht="15" hidden="false" customHeight="false" outlineLevel="0" collapsed="false">
      <c r="A23" s="5" t="s">
        <v>78</v>
      </c>
      <c r="B23" s="14" t="n">
        <f aca="false">B22-1</f>
        <v>0.22309003775</v>
      </c>
      <c r="C23" s="5" t="s">
        <v>79</v>
      </c>
      <c r="D23" s="2"/>
      <c r="E23" s="2"/>
      <c r="F23" s="2"/>
      <c r="G23" s="2"/>
      <c r="H23" s="2"/>
    </row>
    <row r="24" customFormat="false" ht="15" hidden="false" customHeight="false" outlineLevel="0" collapsed="false">
      <c r="A24" s="5" t="s">
        <v>80</v>
      </c>
      <c r="B24" s="14" t="n">
        <f aca="false">1-1/B22</f>
        <v>0.182398703991079</v>
      </c>
      <c r="C24" s="5" t="s">
        <v>81</v>
      </c>
      <c r="D24" s="2"/>
      <c r="E24" s="2"/>
      <c r="F24" s="2"/>
      <c r="G24" s="2"/>
      <c r="H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</row>
    <row r="26" customFormat="false" ht="15" hidden="false" customHeight="false" outlineLevel="0" collapsed="false">
      <c r="A26" s="3" t="s">
        <v>82</v>
      </c>
      <c r="B26" s="2"/>
      <c r="C26" s="2"/>
      <c r="D26" s="2"/>
      <c r="E26" s="2"/>
      <c r="F26" s="2"/>
      <c r="G26" s="2"/>
      <c r="H2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78"/>
    <col collapsed="false" customWidth="true" hidden="false" outlineLevel="0" max="4" min="4" style="0" width="6"/>
    <col collapsed="false" customWidth="true" hidden="false" outlineLevel="0" max="5" min="5" style="0" width="15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83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84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42" hidden="false" customHeight="true" outlineLevel="0" collapsed="false">
      <c r="A4" s="4" t="s">
        <v>85</v>
      </c>
      <c r="B4" s="4" t="s">
        <v>35</v>
      </c>
      <c r="C4" s="4" t="s">
        <v>36</v>
      </c>
      <c r="D4" s="4" t="s">
        <v>37</v>
      </c>
      <c r="E4" s="4" t="s">
        <v>86</v>
      </c>
      <c r="F4" s="4" t="s">
        <v>87</v>
      </c>
    </row>
    <row r="5" customFormat="false" ht="15" hidden="false" customHeight="false" outlineLevel="0" collapsed="false">
      <c r="A5" s="5" t="s">
        <v>88</v>
      </c>
      <c r="B5" s="5" t="s">
        <v>89</v>
      </c>
      <c r="C5" s="5" t="s">
        <v>90</v>
      </c>
      <c r="D5" s="5" t="s">
        <v>45</v>
      </c>
      <c r="E5" s="10" t="n">
        <v>8000</v>
      </c>
      <c r="F5" s="2"/>
    </row>
    <row r="6" customFormat="false" ht="15" hidden="false" customHeight="false" outlineLevel="0" collapsed="false">
      <c r="A6" s="5" t="s">
        <v>88</v>
      </c>
      <c r="B6" s="5" t="s">
        <v>91</v>
      </c>
      <c r="C6" s="5" t="s">
        <v>92</v>
      </c>
      <c r="D6" s="5" t="s">
        <v>45</v>
      </c>
      <c r="E6" s="10" t="n">
        <v>3500</v>
      </c>
      <c r="F6" s="2"/>
    </row>
    <row r="7" customFormat="false" ht="15" hidden="false" customHeight="false" outlineLevel="0" collapsed="false">
      <c r="A7" s="5" t="s">
        <v>88</v>
      </c>
      <c r="B7" s="5" t="s">
        <v>93</v>
      </c>
      <c r="C7" s="5" t="s">
        <v>94</v>
      </c>
      <c r="D7" s="5" t="s">
        <v>56</v>
      </c>
      <c r="E7" s="10" t="n">
        <v>18000</v>
      </c>
      <c r="F7" s="2"/>
    </row>
    <row r="8" customFormat="false" ht="15" hidden="false" customHeight="false" outlineLevel="0" collapsed="false">
      <c r="A8" s="5" t="s">
        <v>88</v>
      </c>
      <c r="B8" s="5" t="s">
        <v>95</v>
      </c>
      <c r="C8" s="5" t="s">
        <v>96</v>
      </c>
      <c r="D8" s="5" t="s">
        <v>56</v>
      </c>
      <c r="E8" s="10" t="n">
        <v>21000</v>
      </c>
      <c r="F8" s="2"/>
    </row>
    <row r="9" customFormat="false" ht="15" hidden="false" customHeight="false" outlineLevel="0" collapsed="false">
      <c r="A9" s="5" t="s">
        <v>88</v>
      </c>
      <c r="B9" s="5" t="s">
        <v>97</v>
      </c>
      <c r="C9" s="5" t="s">
        <v>98</v>
      </c>
      <c r="D9" s="5" t="s">
        <v>56</v>
      </c>
      <c r="E9" s="10" t="n">
        <v>24000</v>
      </c>
      <c r="F9" s="2"/>
    </row>
    <row r="10" customFormat="false" ht="15" hidden="false" customHeight="false" outlineLevel="0" collapsed="false">
      <c r="A10" s="5" t="s">
        <v>88</v>
      </c>
      <c r="B10" s="5" t="s">
        <v>99</v>
      </c>
      <c r="C10" s="5" t="s">
        <v>100</v>
      </c>
      <c r="D10" s="5" t="s">
        <v>45</v>
      </c>
      <c r="E10" s="10" t="n">
        <v>34000</v>
      </c>
      <c r="F10" s="2"/>
    </row>
    <row r="11" customFormat="false" ht="15" hidden="false" customHeight="false" outlineLevel="0" collapsed="false">
      <c r="A11" s="5" t="s">
        <v>88</v>
      </c>
      <c r="B11" s="5" t="s">
        <v>101</v>
      </c>
      <c r="C11" s="5" t="s">
        <v>102</v>
      </c>
      <c r="D11" s="5" t="s">
        <v>45</v>
      </c>
      <c r="E11" s="10" t="n">
        <v>41000</v>
      </c>
      <c r="F11" s="2"/>
    </row>
    <row r="12" customFormat="false" ht="15" hidden="false" customHeight="false" outlineLevel="0" collapsed="false">
      <c r="A12" s="5" t="s">
        <v>88</v>
      </c>
      <c r="B12" s="5" t="s">
        <v>103</v>
      </c>
      <c r="C12" s="5" t="s">
        <v>104</v>
      </c>
      <c r="D12" s="5" t="s">
        <v>45</v>
      </c>
      <c r="E12" s="10" t="n">
        <v>100000</v>
      </c>
      <c r="F12" s="2"/>
    </row>
    <row r="13" customFormat="false" ht="15" hidden="false" customHeight="false" outlineLevel="0" collapsed="false">
      <c r="A13" s="5" t="s">
        <v>88</v>
      </c>
      <c r="B13" s="5" t="s">
        <v>105</v>
      </c>
      <c r="C13" s="5" t="s">
        <v>106</v>
      </c>
      <c r="D13" s="5" t="s">
        <v>45</v>
      </c>
      <c r="E13" s="10" t="n">
        <v>31000</v>
      </c>
      <c r="F13" s="6" t="s">
        <v>107</v>
      </c>
    </row>
    <row r="14" customFormat="false" ht="15" hidden="false" customHeight="false" outlineLevel="0" collapsed="false">
      <c r="A14" s="5" t="s">
        <v>88</v>
      </c>
      <c r="B14" s="5" t="s">
        <v>108</v>
      </c>
      <c r="C14" s="5" t="s">
        <v>109</v>
      </c>
      <c r="D14" s="5" t="s">
        <v>56</v>
      </c>
      <c r="E14" s="10" t="n">
        <v>10000</v>
      </c>
      <c r="F14" s="2"/>
    </row>
    <row r="15" customFormat="false" ht="15" hidden="false" customHeight="false" outlineLevel="0" collapsed="false">
      <c r="A15" s="5" t="s">
        <v>88</v>
      </c>
      <c r="B15" s="5" t="s">
        <v>110</v>
      </c>
      <c r="C15" s="5" t="s">
        <v>111</v>
      </c>
      <c r="D15" s="5" t="s">
        <v>56</v>
      </c>
      <c r="E15" s="10" t="n">
        <v>25000</v>
      </c>
      <c r="F15" s="2"/>
    </row>
    <row r="16" customFormat="false" ht="15" hidden="false" customHeight="false" outlineLevel="0" collapsed="false">
      <c r="A16" s="5" t="s">
        <v>88</v>
      </c>
      <c r="B16" s="5" t="s">
        <v>112</v>
      </c>
      <c r="C16" s="5" t="s">
        <v>58</v>
      </c>
      <c r="D16" s="5" t="s">
        <v>45</v>
      </c>
      <c r="E16" s="10" t="n">
        <v>10000</v>
      </c>
      <c r="F16" s="2"/>
    </row>
    <row r="17" customFormat="false" ht="15" hidden="false" customHeight="false" outlineLevel="0" collapsed="false">
      <c r="A17" s="5" t="s">
        <v>88</v>
      </c>
      <c r="B17" s="5" t="s">
        <v>113</v>
      </c>
      <c r="C17" s="5" t="s">
        <v>114</v>
      </c>
      <c r="D17" s="5" t="s">
        <v>45</v>
      </c>
      <c r="E17" s="10" t="n">
        <v>25000</v>
      </c>
      <c r="F17" s="2"/>
    </row>
    <row r="18" customFormat="false" ht="15" hidden="false" customHeight="false" outlineLevel="0" collapsed="false">
      <c r="A18" s="5" t="s">
        <v>88</v>
      </c>
      <c r="B18" s="5" t="s">
        <v>115</v>
      </c>
      <c r="C18" s="5" t="s">
        <v>116</v>
      </c>
      <c r="D18" s="5" t="s">
        <v>56</v>
      </c>
      <c r="E18" s="10" t="n">
        <v>30000</v>
      </c>
      <c r="F18" s="2"/>
    </row>
    <row r="19" customFormat="false" ht="15" hidden="false" customHeight="false" outlineLevel="0" collapsed="false">
      <c r="A19" s="5" t="s">
        <v>88</v>
      </c>
      <c r="B19" s="5" t="s">
        <v>117</v>
      </c>
      <c r="C19" s="5" t="s">
        <v>118</v>
      </c>
      <c r="D19" s="5" t="s">
        <v>45</v>
      </c>
      <c r="E19" s="10" t="n">
        <v>20000</v>
      </c>
      <c r="F19" s="2"/>
    </row>
    <row r="20" customFormat="false" ht="15" hidden="false" customHeight="false" outlineLevel="0" collapsed="false">
      <c r="A20" s="5" t="s">
        <v>88</v>
      </c>
      <c r="B20" s="5" t="s">
        <v>119</v>
      </c>
      <c r="C20" s="5" t="s">
        <v>120</v>
      </c>
      <c r="D20" s="5" t="s">
        <v>45</v>
      </c>
      <c r="E20" s="10" t="n">
        <v>25000</v>
      </c>
      <c r="F20" s="2"/>
    </row>
    <row r="21" customFormat="false" ht="15" hidden="false" customHeight="false" outlineLevel="0" collapsed="false">
      <c r="A21" s="5" t="s">
        <v>88</v>
      </c>
      <c r="B21" s="5" t="s">
        <v>121</v>
      </c>
      <c r="C21" s="5" t="s">
        <v>122</v>
      </c>
      <c r="D21" s="5" t="s">
        <v>45</v>
      </c>
      <c r="E21" s="10" t="n">
        <v>38000</v>
      </c>
      <c r="F21" s="2"/>
    </row>
    <row r="22" customFormat="false" ht="15" hidden="false" customHeight="false" outlineLevel="0" collapsed="false">
      <c r="A22" s="5" t="s">
        <v>88</v>
      </c>
      <c r="B22" s="5" t="s">
        <v>123</v>
      </c>
      <c r="C22" s="5" t="s">
        <v>124</v>
      </c>
      <c r="D22" s="5" t="s">
        <v>45</v>
      </c>
      <c r="E22" s="10" t="n">
        <v>35000</v>
      </c>
      <c r="F22" s="2"/>
    </row>
    <row r="23" customFormat="false" ht="15" hidden="false" customHeight="false" outlineLevel="0" collapsed="false">
      <c r="A23" s="5" t="s">
        <v>88</v>
      </c>
      <c r="B23" s="5" t="s">
        <v>125</v>
      </c>
      <c r="C23" s="5" t="s">
        <v>126</v>
      </c>
      <c r="D23" s="5" t="s">
        <v>56</v>
      </c>
      <c r="E23" s="10" t="n">
        <v>18000</v>
      </c>
      <c r="F23" s="2"/>
    </row>
    <row r="24" customFormat="false" ht="15" hidden="false" customHeight="false" outlineLevel="0" collapsed="false">
      <c r="A24" s="5" t="s">
        <v>88</v>
      </c>
      <c r="B24" s="5" t="s">
        <v>127</v>
      </c>
      <c r="C24" s="5" t="s">
        <v>128</v>
      </c>
      <c r="D24" s="5" t="s">
        <v>45</v>
      </c>
      <c r="E24" s="10" t="n">
        <v>40000</v>
      </c>
      <c r="F24" s="2"/>
    </row>
    <row r="25" customFormat="false" ht="15" hidden="false" customHeight="false" outlineLevel="0" collapsed="false">
      <c r="A25" s="5" t="s">
        <v>88</v>
      </c>
      <c r="B25" s="5" t="s">
        <v>129</v>
      </c>
      <c r="C25" s="5" t="s">
        <v>130</v>
      </c>
      <c r="D25" s="5" t="s">
        <v>131</v>
      </c>
      <c r="E25" s="10" t="n">
        <v>60000</v>
      </c>
      <c r="F25" s="2"/>
    </row>
    <row r="26" customFormat="false" ht="15" hidden="false" customHeight="false" outlineLevel="0" collapsed="false">
      <c r="A26" s="5" t="s">
        <v>88</v>
      </c>
      <c r="B26" s="5" t="s">
        <v>132</v>
      </c>
      <c r="C26" s="5" t="s">
        <v>133</v>
      </c>
      <c r="D26" s="5" t="s">
        <v>131</v>
      </c>
      <c r="E26" s="10" t="n">
        <v>110000</v>
      </c>
      <c r="F26" s="2"/>
    </row>
    <row r="27" customFormat="false" ht="15" hidden="false" customHeight="false" outlineLevel="0" collapsed="false">
      <c r="A27" s="5" t="s">
        <v>88</v>
      </c>
      <c r="B27" s="5" t="s">
        <v>134</v>
      </c>
      <c r="C27" s="5" t="s">
        <v>135</v>
      </c>
      <c r="D27" s="5" t="s">
        <v>131</v>
      </c>
      <c r="E27" s="10" t="n">
        <v>800000</v>
      </c>
      <c r="F27" s="6" t="s">
        <v>136</v>
      </c>
    </row>
    <row r="28" customFormat="false" ht="15" hidden="false" customHeight="false" outlineLevel="0" collapsed="false">
      <c r="A28" s="5" t="s">
        <v>88</v>
      </c>
      <c r="B28" s="5" t="s">
        <v>137</v>
      </c>
      <c r="C28" s="5" t="s">
        <v>138</v>
      </c>
      <c r="D28" s="5" t="s">
        <v>45</v>
      </c>
      <c r="E28" s="10" t="n">
        <v>50000</v>
      </c>
      <c r="F28" s="6" t="s">
        <v>139</v>
      </c>
    </row>
    <row r="29" customFormat="false" ht="15" hidden="false" customHeight="false" outlineLevel="0" collapsed="false">
      <c r="A29" s="5" t="s">
        <v>88</v>
      </c>
      <c r="B29" s="5" t="s">
        <v>140</v>
      </c>
      <c r="C29" s="5" t="s">
        <v>141</v>
      </c>
      <c r="D29" s="5" t="s">
        <v>45</v>
      </c>
      <c r="E29" s="10" t="n">
        <v>52000</v>
      </c>
      <c r="F29" s="2"/>
    </row>
    <row r="30" customFormat="false" ht="15" hidden="false" customHeight="false" outlineLevel="0" collapsed="false">
      <c r="A30" s="5" t="s">
        <v>88</v>
      </c>
      <c r="B30" s="5" t="s">
        <v>142</v>
      </c>
      <c r="C30" s="5" t="s">
        <v>143</v>
      </c>
      <c r="D30" s="5" t="s">
        <v>45</v>
      </c>
      <c r="E30" s="10" t="n">
        <v>83000</v>
      </c>
      <c r="F30" s="2"/>
    </row>
    <row r="31" customFormat="false" ht="15" hidden="false" customHeight="false" outlineLevel="0" collapsed="false">
      <c r="A31" s="5" t="s">
        <v>88</v>
      </c>
      <c r="B31" s="5" t="s">
        <v>144</v>
      </c>
      <c r="C31" s="5" t="s">
        <v>145</v>
      </c>
      <c r="D31" s="5" t="s">
        <v>131</v>
      </c>
      <c r="E31" s="10" t="n">
        <v>850000</v>
      </c>
      <c r="F31" s="2"/>
    </row>
    <row r="32" customFormat="false" ht="15" hidden="false" customHeight="false" outlineLevel="0" collapsed="false">
      <c r="A32" s="5" t="s">
        <v>88</v>
      </c>
      <c r="B32" s="5" t="s">
        <v>146</v>
      </c>
      <c r="C32" s="5" t="s">
        <v>147</v>
      </c>
      <c r="D32" s="5" t="s">
        <v>131</v>
      </c>
      <c r="E32" s="10" t="n">
        <v>800000</v>
      </c>
      <c r="F32" s="2"/>
    </row>
    <row r="33" customFormat="false" ht="15" hidden="false" customHeight="false" outlineLevel="0" collapsed="false">
      <c r="A33" s="5" t="s">
        <v>88</v>
      </c>
      <c r="B33" s="5" t="s">
        <v>148</v>
      </c>
      <c r="C33" s="5" t="s">
        <v>149</v>
      </c>
      <c r="D33" s="5" t="s">
        <v>131</v>
      </c>
      <c r="E33" s="10" t="n">
        <v>850000</v>
      </c>
      <c r="F33" s="6" t="s">
        <v>150</v>
      </c>
    </row>
    <row r="34" customFormat="false" ht="15" hidden="false" customHeight="false" outlineLevel="0" collapsed="false">
      <c r="A34" s="5" t="s">
        <v>88</v>
      </c>
      <c r="B34" s="5" t="s">
        <v>151</v>
      </c>
      <c r="C34" s="5" t="s">
        <v>152</v>
      </c>
      <c r="D34" s="5" t="s">
        <v>131</v>
      </c>
      <c r="E34" s="10" t="n">
        <v>750000</v>
      </c>
      <c r="F34" s="2"/>
    </row>
    <row r="35" customFormat="false" ht="15" hidden="false" customHeight="false" outlineLevel="0" collapsed="false">
      <c r="A35" s="5" t="s">
        <v>88</v>
      </c>
      <c r="B35" s="5" t="s">
        <v>153</v>
      </c>
      <c r="C35" s="5" t="s">
        <v>135</v>
      </c>
      <c r="D35" s="5" t="s">
        <v>131</v>
      </c>
      <c r="E35" s="10" t="n">
        <v>800000</v>
      </c>
      <c r="F35" s="2"/>
    </row>
    <row r="36" customFormat="false" ht="15" hidden="false" customHeight="false" outlineLevel="0" collapsed="false">
      <c r="A36" s="5" t="s">
        <v>88</v>
      </c>
      <c r="B36" s="5" t="s">
        <v>154</v>
      </c>
      <c r="C36" s="5" t="s">
        <v>155</v>
      </c>
      <c r="D36" s="5" t="s">
        <v>45</v>
      </c>
      <c r="E36" s="10" t="n">
        <v>23000</v>
      </c>
      <c r="F36" s="2"/>
    </row>
    <row r="37" customFormat="false" ht="15" hidden="false" customHeight="false" outlineLevel="0" collapsed="false">
      <c r="A37" s="5" t="s">
        <v>88</v>
      </c>
      <c r="B37" s="5" t="s">
        <v>156</v>
      </c>
      <c r="C37" s="5" t="s">
        <v>157</v>
      </c>
      <c r="D37" s="5" t="s">
        <v>45</v>
      </c>
      <c r="E37" s="10" t="n">
        <v>23000</v>
      </c>
      <c r="F37" s="2"/>
    </row>
    <row r="38" customFormat="false" ht="15" hidden="false" customHeight="false" outlineLevel="0" collapsed="false">
      <c r="A38" s="5" t="s">
        <v>88</v>
      </c>
      <c r="B38" s="5" t="s">
        <v>158</v>
      </c>
      <c r="C38" s="5" t="s">
        <v>159</v>
      </c>
      <c r="D38" s="5" t="s">
        <v>45</v>
      </c>
      <c r="E38" s="10" t="n">
        <v>30000</v>
      </c>
      <c r="F38" s="2"/>
    </row>
    <row r="39" customFormat="false" ht="15" hidden="false" customHeight="false" outlineLevel="0" collapsed="false">
      <c r="A39" s="5" t="s">
        <v>88</v>
      </c>
      <c r="B39" s="5" t="s">
        <v>160</v>
      </c>
      <c r="C39" s="5" t="s">
        <v>161</v>
      </c>
      <c r="D39" s="5" t="s">
        <v>45</v>
      </c>
      <c r="E39" s="10" t="n">
        <v>32000</v>
      </c>
      <c r="F39" s="2"/>
    </row>
    <row r="40" customFormat="false" ht="15" hidden="false" customHeight="false" outlineLevel="0" collapsed="false">
      <c r="A40" s="5" t="s">
        <v>88</v>
      </c>
      <c r="B40" s="5" t="s">
        <v>162</v>
      </c>
      <c r="C40" s="5" t="s">
        <v>163</v>
      </c>
      <c r="D40" s="5" t="s">
        <v>45</v>
      </c>
      <c r="E40" s="10" t="n">
        <v>22000</v>
      </c>
      <c r="F40" s="2"/>
    </row>
    <row r="41" customFormat="false" ht="15" hidden="false" customHeight="false" outlineLevel="0" collapsed="false">
      <c r="A41" s="5" t="s">
        <v>88</v>
      </c>
      <c r="B41" s="5" t="s">
        <v>164</v>
      </c>
      <c r="C41" s="5" t="s">
        <v>165</v>
      </c>
      <c r="D41" s="5" t="s">
        <v>45</v>
      </c>
      <c r="E41" s="10" t="n">
        <v>25000</v>
      </c>
      <c r="F41" s="2"/>
    </row>
    <row r="42" customFormat="false" ht="15" hidden="false" customHeight="false" outlineLevel="0" collapsed="false">
      <c r="A42" s="5" t="s">
        <v>88</v>
      </c>
      <c r="B42" s="5" t="s">
        <v>166</v>
      </c>
      <c r="C42" s="5" t="s">
        <v>167</v>
      </c>
      <c r="D42" s="5" t="s">
        <v>45</v>
      </c>
      <c r="E42" s="10" t="n">
        <v>18000</v>
      </c>
      <c r="F42" s="2"/>
    </row>
    <row r="43" customFormat="false" ht="15" hidden="false" customHeight="false" outlineLevel="0" collapsed="false">
      <c r="A43" s="5" t="s">
        <v>88</v>
      </c>
      <c r="B43" s="5" t="s">
        <v>168</v>
      </c>
      <c r="C43" s="5" t="s">
        <v>169</v>
      </c>
      <c r="D43" s="5" t="s">
        <v>170</v>
      </c>
      <c r="E43" s="10" t="n">
        <v>50000</v>
      </c>
      <c r="F43" s="2"/>
    </row>
    <row r="44" customFormat="false" ht="15" hidden="false" customHeight="false" outlineLevel="0" collapsed="false">
      <c r="A44" s="5" t="s">
        <v>88</v>
      </c>
      <c r="B44" s="5" t="s">
        <v>171</v>
      </c>
      <c r="C44" s="5" t="s">
        <v>172</v>
      </c>
      <c r="D44" s="5" t="s">
        <v>170</v>
      </c>
      <c r="E44" s="10" t="n">
        <v>23000</v>
      </c>
      <c r="F44" s="2"/>
    </row>
    <row r="45" customFormat="false" ht="15" hidden="false" customHeight="false" outlineLevel="0" collapsed="false">
      <c r="A45" s="5" t="s">
        <v>88</v>
      </c>
      <c r="B45" s="5" t="s">
        <v>173</v>
      </c>
      <c r="C45" s="5" t="s">
        <v>44</v>
      </c>
      <c r="D45" s="5" t="s">
        <v>45</v>
      </c>
      <c r="E45" s="10" t="n">
        <v>12000</v>
      </c>
      <c r="F45" s="2"/>
    </row>
    <row r="46" customFormat="false" ht="15" hidden="false" customHeight="false" outlineLevel="0" collapsed="false">
      <c r="A46" s="5" t="s">
        <v>88</v>
      </c>
      <c r="B46" s="5" t="s">
        <v>174</v>
      </c>
      <c r="C46" s="5" t="s">
        <v>175</v>
      </c>
      <c r="D46" s="5" t="s">
        <v>56</v>
      </c>
      <c r="E46" s="10" t="n">
        <v>35000</v>
      </c>
      <c r="F46" s="2"/>
    </row>
    <row r="47" customFormat="false" ht="15" hidden="false" customHeight="false" outlineLevel="0" collapsed="false">
      <c r="A47" s="5" t="s">
        <v>88</v>
      </c>
      <c r="B47" s="5" t="s">
        <v>176</v>
      </c>
      <c r="C47" s="5" t="s">
        <v>177</v>
      </c>
      <c r="D47" s="5" t="s">
        <v>45</v>
      </c>
      <c r="E47" s="10" t="n">
        <v>11000</v>
      </c>
      <c r="F47" s="2"/>
    </row>
    <row r="48" customFormat="false" ht="15" hidden="false" customHeight="false" outlineLevel="0" collapsed="false">
      <c r="A48" s="5" t="s">
        <v>88</v>
      </c>
      <c r="B48" s="5" t="s">
        <v>178</v>
      </c>
      <c r="C48" s="5" t="s">
        <v>179</v>
      </c>
      <c r="D48" s="5" t="s">
        <v>45</v>
      </c>
      <c r="E48" s="10" t="n">
        <v>11000</v>
      </c>
      <c r="F48" s="2"/>
    </row>
    <row r="49" customFormat="false" ht="15" hidden="false" customHeight="false" outlineLevel="0" collapsed="false">
      <c r="A49" s="5" t="s">
        <v>88</v>
      </c>
      <c r="B49" s="5" t="s">
        <v>180</v>
      </c>
      <c r="C49" s="5" t="s">
        <v>181</v>
      </c>
      <c r="D49" s="5" t="s">
        <v>170</v>
      </c>
      <c r="E49" s="10" t="n">
        <v>0</v>
      </c>
      <c r="F49" s="2"/>
    </row>
    <row r="50" customFormat="false" ht="15" hidden="false" customHeight="false" outlineLevel="0" collapsed="false">
      <c r="A50" s="5" t="s">
        <v>88</v>
      </c>
      <c r="B50" s="5" t="s">
        <v>182</v>
      </c>
      <c r="C50" s="5" t="s">
        <v>183</v>
      </c>
      <c r="D50" s="5" t="s">
        <v>45</v>
      </c>
      <c r="E50" s="10" t="n">
        <v>38000</v>
      </c>
      <c r="F50" s="2"/>
    </row>
    <row r="51" customFormat="false" ht="15" hidden="false" customHeight="false" outlineLevel="0" collapsed="false">
      <c r="A51" s="5" t="s">
        <v>88</v>
      </c>
      <c r="B51" s="5" t="s">
        <v>184</v>
      </c>
      <c r="C51" s="5" t="s">
        <v>185</v>
      </c>
      <c r="D51" s="5" t="s">
        <v>45</v>
      </c>
      <c r="E51" s="10" t="n">
        <v>32000</v>
      </c>
      <c r="F51" s="2"/>
    </row>
    <row r="52" customFormat="false" ht="15" hidden="false" customHeight="false" outlineLevel="0" collapsed="false">
      <c r="A52" s="5" t="s">
        <v>88</v>
      </c>
      <c r="B52" s="5" t="s">
        <v>186</v>
      </c>
      <c r="C52" s="5" t="s">
        <v>187</v>
      </c>
      <c r="D52" s="5" t="s">
        <v>45</v>
      </c>
      <c r="E52" s="10" t="n">
        <v>40000</v>
      </c>
      <c r="F52" s="2"/>
    </row>
    <row r="53" customFormat="false" ht="15" hidden="false" customHeight="false" outlineLevel="0" collapsed="false">
      <c r="A53" s="5" t="s">
        <v>88</v>
      </c>
      <c r="B53" s="5" t="s">
        <v>188</v>
      </c>
      <c r="C53" s="5" t="s">
        <v>189</v>
      </c>
      <c r="D53" s="5" t="s">
        <v>170</v>
      </c>
      <c r="E53" s="10" t="n">
        <v>10000</v>
      </c>
      <c r="F53" s="2"/>
    </row>
    <row r="54" customFormat="false" ht="15" hidden="false" customHeight="false" outlineLevel="0" collapsed="false">
      <c r="A54" s="5" t="s">
        <v>88</v>
      </c>
      <c r="B54" s="5" t="s">
        <v>190</v>
      </c>
      <c r="C54" s="5" t="s">
        <v>191</v>
      </c>
      <c r="D54" s="5" t="s">
        <v>45</v>
      </c>
      <c r="E54" s="10" t="n">
        <v>10000</v>
      </c>
      <c r="F54" s="2"/>
    </row>
    <row r="55" customFormat="false" ht="15" hidden="false" customHeight="false" outlineLevel="0" collapsed="false">
      <c r="A55" s="5" t="s">
        <v>88</v>
      </c>
      <c r="B55" s="5" t="s">
        <v>192</v>
      </c>
      <c r="C55" s="5" t="s">
        <v>193</v>
      </c>
      <c r="D55" s="5" t="s">
        <v>45</v>
      </c>
      <c r="E55" s="10" t="n">
        <v>26400</v>
      </c>
      <c r="F55" s="2"/>
    </row>
    <row r="56" customFormat="false" ht="15" hidden="false" customHeight="false" outlineLevel="0" collapsed="false">
      <c r="A56" s="5" t="s">
        <v>194</v>
      </c>
      <c r="B56" s="5" t="s">
        <v>54</v>
      </c>
      <c r="C56" s="5" t="s">
        <v>90</v>
      </c>
      <c r="D56" s="5" t="s">
        <v>45</v>
      </c>
      <c r="E56" s="10" t="n">
        <v>8400</v>
      </c>
      <c r="F56" s="2"/>
    </row>
    <row r="57" customFormat="false" ht="15" hidden="false" customHeight="false" outlineLevel="0" collapsed="false">
      <c r="A57" s="5" t="s">
        <v>194</v>
      </c>
      <c r="B57" s="5" t="s">
        <v>195</v>
      </c>
      <c r="C57" s="5" t="s">
        <v>92</v>
      </c>
      <c r="D57" s="5" t="s">
        <v>45</v>
      </c>
      <c r="E57" s="10" t="n">
        <v>3675</v>
      </c>
      <c r="F57" s="2"/>
    </row>
    <row r="58" customFormat="false" ht="15" hidden="false" customHeight="false" outlineLevel="0" collapsed="false">
      <c r="A58" s="5" t="s">
        <v>194</v>
      </c>
      <c r="B58" s="5" t="s">
        <v>196</v>
      </c>
      <c r="C58" s="5" t="s">
        <v>138</v>
      </c>
      <c r="D58" s="5" t="s">
        <v>45</v>
      </c>
      <c r="E58" s="10" t="n">
        <v>52500</v>
      </c>
      <c r="F58" s="2"/>
    </row>
    <row r="59" customFormat="false" ht="15" hidden="false" customHeight="false" outlineLevel="0" collapsed="false">
      <c r="A59" s="5" t="s">
        <v>194</v>
      </c>
      <c r="B59" s="5" t="s">
        <v>197</v>
      </c>
      <c r="C59" s="5" t="s">
        <v>104</v>
      </c>
      <c r="D59" s="5" t="s">
        <v>45</v>
      </c>
      <c r="E59" s="10" t="n">
        <v>105000</v>
      </c>
      <c r="F59" s="2"/>
    </row>
    <row r="60" customFormat="false" ht="15" hidden="false" customHeight="false" outlineLevel="0" collapsed="false">
      <c r="A60" s="5" t="s">
        <v>194</v>
      </c>
      <c r="B60" s="5" t="s">
        <v>198</v>
      </c>
      <c r="C60" s="5" t="s">
        <v>106</v>
      </c>
      <c r="D60" s="5" t="s">
        <v>45</v>
      </c>
      <c r="E60" s="10" t="n">
        <v>33000</v>
      </c>
      <c r="F60" s="2"/>
    </row>
    <row r="61" customFormat="false" ht="15" hidden="false" customHeight="false" outlineLevel="0" collapsed="false">
      <c r="A61" s="5" t="s">
        <v>194</v>
      </c>
      <c r="B61" s="5" t="s">
        <v>199</v>
      </c>
      <c r="C61" s="5" t="s">
        <v>200</v>
      </c>
      <c r="D61" s="5" t="s">
        <v>45</v>
      </c>
      <c r="E61" s="10" t="n">
        <v>45000</v>
      </c>
      <c r="F61" s="2"/>
    </row>
    <row r="62" customFormat="false" ht="15" hidden="false" customHeight="false" outlineLevel="0" collapsed="false">
      <c r="A62" s="5" t="s">
        <v>194</v>
      </c>
      <c r="B62" s="5" t="s">
        <v>201</v>
      </c>
      <c r="C62" s="5" t="s">
        <v>202</v>
      </c>
      <c r="D62" s="5" t="s">
        <v>45</v>
      </c>
      <c r="E62" s="10" t="n">
        <v>54600</v>
      </c>
      <c r="F62" s="2"/>
    </row>
    <row r="63" customFormat="false" ht="15" hidden="false" customHeight="false" outlineLevel="0" collapsed="false">
      <c r="A63" s="5" t="s">
        <v>194</v>
      </c>
      <c r="B63" s="5" t="s">
        <v>203</v>
      </c>
      <c r="C63" s="5" t="s">
        <v>204</v>
      </c>
      <c r="D63" s="5" t="s">
        <v>45</v>
      </c>
      <c r="E63" s="10" t="n">
        <v>65450</v>
      </c>
      <c r="F63" s="2"/>
    </row>
    <row r="64" customFormat="false" ht="15" hidden="false" customHeight="false" outlineLevel="0" collapsed="false">
      <c r="A64" s="5" t="s">
        <v>194</v>
      </c>
      <c r="B64" s="5" t="s">
        <v>205</v>
      </c>
      <c r="C64" s="5" t="s">
        <v>206</v>
      </c>
      <c r="D64" s="5" t="s">
        <v>45</v>
      </c>
      <c r="E64" s="10" t="n">
        <v>87150</v>
      </c>
      <c r="F64" s="2"/>
    </row>
    <row r="65" customFormat="false" ht="15" hidden="false" customHeight="false" outlineLevel="0" collapsed="false">
      <c r="A65" s="5" t="s">
        <v>194</v>
      </c>
      <c r="B65" s="5" t="s">
        <v>207</v>
      </c>
      <c r="C65" s="5" t="s">
        <v>208</v>
      </c>
      <c r="D65" s="5" t="s">
        <v>45</v>
      </c>
      <c r="E65" s="10" t="n">
        <v>42000</v>
      </c>
      <c r="F65" s="2"/>
    </row>
    <row r="66" customFormat="false" ht="15" hidden="false" customHeight="false" outlineLevel="0" collapsed="false">
      <c r="A66" s="5" t="s">
        <v>194</v>
      </c>
      <c r="B66" s="5" t="s">
        <v>209</v>
      </c>
      <c r="C66" s="5" t="s">
        <v>109</v>
      </c>
      <c r="D66" s="5" t="s">
        <v>56</v>
      </c>
      <c r="E66" s="10" t="n">
        <v>10500</v>
      </c>
      <c r="F66" s="2"/>
    </row>
    <row r="67" customFormat="false" ht="15" hidden="false" customHeight="false" outlineLevel="0" collapsed="false">
      <c r="A67" s="5" t="s">
        <v>194</v>
      </c>
      <c r="B67" s="5" t="s">
        <v>210</v>
      </c>
      <c r="C67" s="5" t="s">
        <v>111</v>
      </c>
      <c r="D67" s="5" t="s">
        <v>56</v>
      </c>
      <c r="E67" s="10" t="n">
        <v>26250</v>
      </c>
      <c r="F67" s="2"/>
    </row>
    <row r="68" customFormat="false" ht="15" hidden="false" customHeight="false" outlineLevel="0" collapsed="false">
      <c r="A68" s="5" t="s">
        <v>194</v>
      </c>
      <c r="B68" s="5" t="s">
        <v>211</v>
      </c>
      <c r="C68" s="5" t="s">
        <v>58</v>
      </c>
      <c r="D68" s="5" t="s">
        <v>45</v>
      </c>
      <c r="E68" s="10" t="n">
        <v>10500</v>
      </c>
      <c r="F68" s="2"/>
    </row>
    <row r="69" customFormat="false" ht="15" hidden="false" customHeight="false" outlineLevel="0" collapsed="false">
      <c r="A69" s="5" t="s">
        <v>194</v>
      </c>
      <c r="B69" s="5" t="s">
        <v>212</v>
      </c>
      <c r="C69" s="5" t="s">
        <v>213</v>
      </c>
      <c r="D69" s="5" t="s">
        <v>45</v>
      </c>
      <c r="E69" s="10" t="n">
        <v>26250</v>
      </c>
      <c r="F69" s="2"/>
    </row>
    <row r="70" customFormat="false" ht="15" hidden="false" customHeight="false" outlineLevel="0" collapsed="false">
      <c r="A70" s="5" t="s">
        <v>194</v>
      </c>
      <c r="B70" s="5" t="s">
        <v>214</v>
      </c>
      <c r="C70" s="5" t="s">
        <v>114</v>
      </c>
      <c r="D70" s="5" t="s">
        <v>45</v>
      </c>
      <c r="E70" s="10" t="n">
        <v>26250</v>
      </c>
      <c r="F70" s="2"/>
    </row>
    <row r="71" customFormat="false" ht="15" hidden="false" customHeight="false" outlineLevel="0" collapsed="false">
      <c r="A71" s="5" t="s">
        <v>194</v>
      </c>
      <c r="B71" s="5" t="s">
        <v>215</v>
      </c>
      <c r="C71" s="5" t="s">
        <v>116</v>
      </c>
      <c r="D71" s="5" t="s">
        <v>56</v>
      </c>
      <c r="E71" s="10" t="n">
        <v>31500</v>
      </c>
      <c r="F71" s="2"/>
    </row>
    <row r="72" customFormat="false" ht="15" hidden="false" customHeight="false" outlineLevel="0" collapsed="false">
      <c r="A72" s="5" t="s">
        <v>194</v>
      </c>
      <c r="B72" s="5" t="s">
        <v>216</v>
      </c>
      <c r="C72" s="5" t="s">
        <v>217</v>
      </c>
      <c r="D72" s="5" t="s">
        <v>45</v>
      </c>
      <c r="E72" s="10" t="n">
        <v>21000</v>
      </c>
      <c r="F72" s="2"/>
    </row>
    <row r="73" customFormat="false" ht="15" hidden="false" customHeight="false" outlineLevel="0" collapsed="false">
      <c r="A73" s="5" t="s">
        <v>194</v>
      </c>
      <c r="B73" s="5" t="s">
        <v>218</v>
      </c>
      <c r="C73" s="5" t="s">
        <v>219</v>
      </c>
      <c r="D73" s="5" t="s">
        <v>45</v>
      </c>
      <c r="E73" s="10" t="n">
        <v>26250</v>
      </c>
      <c r="F73" s="2"/>
    </row>
    <row r="74" customFormat="false" ht="15" hidden="false" customHeight="false" outlineLevel="0" collapsed="false">
      <c r="A74" s="5" t="s">
        <v>194</v>
      </c>
      <c r="B74" s="5" t="s">
        <v>220</v>
      </c>
      <c r="C74" s="5" t="s">
        <v>221</v>
      </c>
      <c r="D74" s="5" t="s">
        <v>45</v>
      </c>
      <c r="E74" s="10" t="n">
        <v>39900</v>
      </c>
      <c r="F74" s="2"/>
    </row>
    <row r="75" customFormat="false" ht="15" hidden="false" customHeight="false" outlineLevel="0" collapsed="false">
      <c r="A75" s="5" t="s">
        <v>194</v>
      </c>
      <c r="B75" s="5" t="s">
        <v>222</v>
      </c>
      <c r="C75" s="5" t="s">
        <v>223</v>
      </c>
      <c r="D75" s="5" t="s">
        <v>56</v>
      </c>
      <c r="E75" s="10" t="n">
        <v>18900</v>
      </c>
      <c r="F75" s="2"/>
    </row>
    <row r="76" customFormat="false" ht="15" hidden="false" customHeight="false" outlineLevel="0" collapsed="false">
      <c r="A76" s="5" t="s">
        <v>194</v>
      </c>
      <c r="B76" s="5" t="s">
        <v>224</v>
      </c>
      <c r="C76" s="5" t="s">
        <v>128</v>
      </c>
      <c r="D76" s="5" t="s">
        <v>45</v>
      </c>
      <c r="E76" s="10" t="n">
        <v>42000</v>
      </c>
      <c r="F76" s="2"/>
    </row>
    <row r="77" customFormat="false" ht="15" hidden="false" customHeight="false" outlineLevel="0" collapsed="false">
      <c r="A77" s="5" t="s">
        <v>194</v>
      </c>
      <c r="B77" s="5" t="s">
        <v>225</v>
      </c>
      <c r="C77" s="5" t="s">
        <v>226</v>
      </c>
      <c r="D77" s="5" t="s">
        <v>45</v>
      </c>
      <c r="E77" s="10" t="n">
        <v>12600</v>
      </c>
      <c r="F77" s="2"/>
    </row>
    <row r="78" customFormat="false" ht="15" hidden="false" customHeight="false" outlineLevel="0" collapsed="false">
      <c r="A78" s="5" t="s">
        <v>194</v>
      </c>
      <c r="B78" s="5" t="s">
        <v>227</v>
      </c>
      <c r="C78" s="5" t="s">
        <v>228</v>
      </c>
      <c r="D78" s="5" t="s">
        <v>45</v>
      </c>
      <c r="E78" s="10" t="n">
        <v>15750</v>
      </c>
      <c r="F78" s="2"/>
    </row>
    <row r="79" customFormat="false" ht="15" hidden="false" customHeight="false" outlineLevel="0" collapsed="false">
      <c r="A79" s="5" t="s">
        <v>194</v>
      </c>
      <c r="B79" s="5" t="s">
        <v>229</v>
      </c>
      <c r="C79" s="5" t="s">
        <v>230</v>
      </c>
      <c r="D79" s="5" t="s">
        <v>45</v>
      </c>
      <c r="E79" s="10" t="n">
        <v>4200</v>
      </c>
      <c r="F79" s="2"/>
    </row>
    <row r="80" customFormat="false" ht="15" hidden="false" customHeight="false" outlineLevel="0" collapsed="false">
      <c r="A80" s="5" t="s">
        <v>194</v>
      </c>
      <c r="B80" s="5" t="s">
        <v>231</v>
      </c>
      <c r="C80" s="5" t="s">
        <v>232</v>
      </c>
      <c r="D80" s="5" t="s">
        <v>56</v>
      </c>
      <c r="E80" s="10" t="n">
        <v>72000</v>
      </c>
      <c r="F8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48"/>
  </cols>
  <sheetData>
    <row r="1" customFormat="false" ht="17.35" hidden="false" customHeight="false" outlineLevel="0" collapsed="false">
      <c r="A1" s="1" t="s">
        <v>233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234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42" hidden="false" customHeight="true" outlineLevel="0" collapsed="false">
      <c r="A4" s="4" t="s">
        <v>235</v>
      </c>
      <c r="B4" s="4" t="s">
        <v>236</v>
      </c>
      <c r="C4" s="4" t="s">
        <v>37</v>
      </c>
      <c r="D4" s="4" t="s">
        <v>237</v>
      </c>
      <c r="E4" s="4" t="s">
        <v>238</v>
      </c>
      <c r="F4" s="4" t="s">
        <v>239</v>
      </c>
      <c r="G4" s="4" t="s">
        <v>240</v>
      </c>
    </row>
    <row r="5" customFormat="false" ht="15" hidden="false" customHeight="false" outlineLevel="0" collapsed="false">
      <c r="A5" s="6" t="s">
        <v>241</v>
      </c>
      <c r="B5" s="5" t="s">
        <v>242</v>
      </c>
      <c r="C5" s="5" t="s">
        <v>170</v>
      </c>
      <c r="D5" s="10" t="n">
        <v>700</v>
      </c>
      <c r="E5" s="5" t="s">
        <v>243</v>
      </c>
      <c r="F5" s="14" t="n">
        <v>0.05</v>
      </c>
      <c r="G5" s="5" t="s">
        <v>244</v>
      </c>
    </row>
    <row r="6" customFormat="false" ht="15" hidden="false" customHeight="false" outlineLevel="0" collapsed="false">
      <c r="A6" s="6" t="s">
        <v>245</v>
      </c>
      <c r="B6" s="5" t="s">
        <v>246</v>
      </c>
      <c r="C6" s="5" t="s">
        <v>170</v>
      </c>
      <c r="D6" s="10" t="n">
        <v>1300</v>
      </c>
      <c r="E6" s="5" t="s">
        <v>243</v>
      </c>
      <c r="F6" s="14" t="n">
        <v>0.04</v>
      </c>
      <c r="G6" s="5" t="s">
        <v>244</v>
      </c>
    </row>
    <row r="7" customFormat="false" ht="15" hidden="false" customHeight="false" outlineLevel="0" collapsed="false">
      <c r="A7" s="6" t="s">
        <v>247</v>
      </c>
      <c r="B7" s="5" t="s">
        <v>248</v>
      </c>
      <c r="C7" s="5" t="s">
        <v>249</v>
      </c>
      <c r="D7" s="10" t="n">
        <v>58000</v>
      </c>
      <c r="E7" s="5" t="s">
        <v>243</v>
      </c>
      <c r="F7" s="14" t="n">
        <v>0.05</v>
      </c>
      <c r="G7" s="5" t="s">
        <v>244</v>
      </c>
    </row>
    <row r="8" customFormat="false" ht="15" hidden="false" customHeight="false" outlineLevel="0" collapsed="false">
      <c r="A8" s="6" t="s">
        <v>250</v>
      </c>
      <c r="B8" s="5" t="s">
        <v>251</v>
      </c>
      <c r="C8" s="5" t="s">
        <v>252</v>
      </c>
      <c r="D8" s="10" t="n">
        <v>1200</v>
      </c>
      <c r="E8" s="5" t="s">
        <v>243</v>
      </c>
      <c r="F8" s="14" t="n">
        <v>0.05</v>
      </c>
      <c r="G8" s="5" t="s">
        <v>244</v>
      </c>
    </row>
    <row r="9" customFormat="false" ht="15" hidden="false" customHeight="false" outlineLevel="0" collapsed="false">
      <c r="A9" s="6" t="s">
        <v>253</v>
      </c>
      <c r="B9" s="5" t="s">
        <v>254</v>
      </c>
      <c r="C9" s="5" t="s">
        <v>131</v>
      </c>
      <c r="D9" s="10" t="n">
        <v>150000</v>
      </c>
      <c r="E9" s="5" t="s">
        <v>243</v>
      </c>
      <c r="F9" s="14" t="n">
        <v>0.1</v>
      </c>
      <c r="G9" s="5" t="s">
        <v>244</v>
      </c>
    </row>
    <row r="10" customFormat="false" ht="15" hidden="false" customHeight="false" outlineLevel="0" collapsed="false">
      <c r="A10" s="6" t="s">
        <v>255</v>
      </c>
      <c r="B10" s="5" t="s">
        <v>256</v>
      </c>
      <c r="C10" s="5" t="s">
        <v>45</v>
      </c>
      <c r="D10" s="10" t="n">
        <v>5000</v>
      </c>
      <c r="E10" s="5" t="s">
        <v>243</v>
      </c>
      <c r="F10" s="14" t="s">
        <v>257</v>
      </c>
      <c r="G10" s="5" t="s">
        <v>258</v>
      </c>
    </row>
    <row r="11" customFormat="false" ht="15" hidden="false" customHeight="false" outlineLevel="0" collapsed="false">
      <c r="A11" s="6" t="s">
        <v>259</v>
      </c>
      <c r="B11" s="5" t="s">
        <v>260</v>
      </c>
      <c r="C11" s="5" t="s">
        <v>131</v>
      </c>
      <c r="D11" s="10" t="n">
        <v>900000</v>
      </c>
      <c r="E11" s="5" t="s">
        <v>261</v>
      </c>
      <c r="F11" s="14" t="n">
        <v>0.03</v>
      </c>
      <c r="G11" s="5" t="s">
        <v>262</v>
      </c>
    </row>
    <row r="12" customFormat="false" ht="15" hidden="false" customHeight="false" outlineLevel="0" collapsed="false">
      <c r="A12" s="6" t="s">
        <v>263</v>
      </c>
      <c r="B12" s="5" t="s">
        <v>264</v>
      </c>
      <c r="C12" s="5" t="s">
        <v>252</v>
      </c>
      <c r="D12" s="10" t="n">
        <v>9500</v>
      </c>
      <c r="E12" s="5" t="s">
        <v>261</v>
      </c>
      <c r="F12" s="14" t="n">
        <v>0.03</v>
      </c>
      <c r="G12" s="5" t="s">
        <v>265</v>
      </c>
    </row>
    <row r="13" customFormat="false" ht="15" hidden="false" customHeight="false" outlineLevel="0" collapsed="false">
      <c r="A13" s="6" t="s">
        <v>266</v>
      </c>
      <c r="B13" s="5" t="s">
        <v>267</v>
      </c>
      <c r="C13" s="5" t="s">
        <v>252</v>
      </c>
      <c r="D13" s="10" t="n">
        <v>15000</v>
      </c>
      <c r="E13" s="5" t="s">
        <v>243</v>
      </c>
      <c r="F13" s="14" t="n">
        <v>0.1</v>
      </c>
      <c r="G13" s="5" t="s">
        <v>244</v>
      </c>
    </row>
    <row r="14" customFormat="false" ht="15" hidden="false" customHeight="false" outlineLevel="0" collapsed="false">
      <c r="A14" s="6" t="s">
        <v>268</v>
      </c>
      <c r="B14" s="5" t="s">
        <v>269</v>
      </c>
      <c r="C14" s="5" t="s">
        <v>45</v>
      </c>
      <c r="D14" s="10" t="n">
        <v>35000</v>
      </c>
      <c r="E14" s="5" t="s">
        <v>270</v>
      </c>
      <c r="F14" s="14" t="s">
        <v>257</v>
      </c>
      <c r="G14" s="5" t="s">
        <v>244</v>
      </c>
    </row>
    <row r="15" customFormat="false" ht="15" hidden="false" customHeight="false" outlineLevel="0" collapsed="false">
      <c r="A15" s="6" t="s">
        <v>271</v>
      </c>
      <c r="B15" s="5" t="s">
        <v>272</v>
      </c>
      <c r="C15" s="5" t="s">
        <v>131</v>
      </c>
      <c r="D15" s="10" t="n">
        <v>55000</v>
      </c>
      <c r="E15" s="5" t="s">
        <v>270</v>
      </c>
      <c r="F15" s="14" t="s">
        <v>257</v>
      </c>
      <c r="G15" s="5" t="s">
        <v>244</v>
      </c>
    </row>
    <row r="16" customFormat="false" ht="15" hidden="false" customHeight="false" outlineLevel="0" collapsed="false">
      <c r="A16" s="6" t="s">
        <v>273</v>
      </c>
      <c r="B16" s="5" t="s">
        <v>274</v>
      </c>
      <c r="C16" s="5" t="s">
        <v>45</v>
      </c>
      <c r="D16" s="10" t="n">
        <f aca="false">'Lista MO contratistas'!E28</f>
        <v>50000</v>
      </c>
      <c r="E16" s="5" t="s">
        <v>261</v>
      </c>
      <c r="F16" s="14" t="s">
        <v>257</v>
      </c>
      <c r="G16" s="5" t="s">
        <v>275</v>
      </c>
    </row>
    <row r="17" customFormat="false" ht="15" hidden="false" customHeight="false" outlineLevel="0" collapsed="false">
      <c r="A17" s="6" t="s">
        <v>276</v>
      </c>
      <c r="B17" s="5" t="s">
        <v>277</v>
      </c>
      <c r="C17" s="5" t="s">
        <v>45</v>
      </c>
      <c r="D17" s="10" t="n">
        <f aca="false">'Lista MO contratistas'!E13</f>
        <v>31000</v>
      </c>
      <c r="E17" s="5" t="s">
        <v>261</v>
      </c>
      <c r="F17" s="14" t="s">
        <v>257</v>
      </c>
      <c r="G17" s="5" t="s">
        <v>278</v>
      </c>
    </row>
    <row r="18" customFormat="false" ht="15" hidden="false" customHeight="false" outlineLevel="0" collapsed="false">
      <c r="A18" s="6" t="s">
        <v>279</v>
      </c>
      <c r="B18" s="5" t="s">
        <v>280</v>
      </c>
      <c r="C18" s="5" t="s">
        <v>131</v>
      </c>
      <c r="D18" s="10" t="n">
        <f aca="false">'Lista MO contratistas'!E33</f>
        <v>850000</v>
      </c>
      <c r="E18" s="5" t="s">
        <v>261</v>
      </c>
      <c r="F18" s="14" t="s">
        <v>257</v>
      </c>
      <c r="G18" s="5" t="s">
        <v>281</v>
      </c>
    </row>
    <row r="19" customFormat="false" ht="15" hidden="false" customHeight="false" outlineLevel="0" collapsed="false">
      <c r="A19" s="6" t="s">
        <v>282</v>
      </c>
      <c r="B19" s="5" t="s">
        <v>283</v>
      </c>
      <c r="C19" s="5" t="s">
        <v>131</v>
      </c>
      <c r="D19" s="10" t="n">
        <f aca="false">'Lista MO contratistas'!E27</f>
        <v>800000</v>
      </c>
      <c r="E19" s="5" t="s">
        <v>261</v>
      </c>
      <c r="F19" s="14" t="s">
        <v>257</v>
      </c>
      <c r="G19" s="5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9"/>
  </cols>
  <sheetData>
    <row r="1" customFormat="false" ht="17.35" hidden="false" customHeight="false" outlineLevel="0" collapsed="false">
      <c r="A1" s="1" t="s">
        <v>285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286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15" t="s">
        <v>287</v>
      </c>
      <c r="B4" s="15"/>
      <c r="C4" s="15"/>
      <c r="D4" s="15"/>
      <c r="E4" s="15"/>
      <c r="F4" s="15"/>
      <c r="G4" s="15"/>
    </row>
    <row r="5" customFormat="false" ht="42" hidden="false" customHeight="true" outlineLevel="0" collapsed="false">
      <c r="A5" s="4" t="s">
        <v>235</v>
      </c>
      <c r="B5" s="4" t="s">
        <v>236</v>
      </c>
      <c r="C5" s="4" t="s">
        <v>37</v>
      </c>
      <c r="D5" s="4" t="s">
        <v>288</v>
      </c>
      <c r="E5" s="4" t="s">
        <v>289</v>
      </c>
      <c r="F5" s="4" t="s">
        <v>290</v>
      </c>
      <c r="G5" s="4" t="s">
        <v>291</v>
      </c>
    </row>
    <row r="6" customFormat="false" ht="15" hidden="false" customHeight="false" outlineLevel="0" collapsed="false">
      <c r="A6" s="5" t="s">
        <v>245</v>
      </c>
      <c r="B6" s="5" t="s">
        <v>246</v>
      </c>
      <c r="C6" s="5" t="s">
        <v>170</v>
      </c>
      <c r="D6" s="16" t="n">
        <v>58</v>
      </c>
      <c r="E6" s="10" t="n">
        <f aca="false">'2 Insumos'!$D$6</f>
        <v>1300</v>
      </c>
      <c r="F6" s="10" t="n">
        <f aca="false">D6*E6</f>
        <v>75400</v>
      </c>
      <c r="G6" s="5" t="s">
        <v>292</v>
      </c>
    </row>
    <row r="7" customFormat="false" ht="15" hidden="false" customHeight="false" outlineLevel="0" collapsed="false">
      <c r="A7" s="5" t="s">
        <v>247</v>
      </c>
      <c r="B7" s="5" t="s">
        <v>248</v>
      </c>
      <c r="C7" s="5" t="s">
        <v>249</v>
      </c>
      <c r="D7" s="16" t="n">
        <v>0.12</v>
      </c>
      <c r="E7" s="10" t="n">
        <f aca="false">'2 Insumos'!$D$7</f>
        <v>58000</v>
      </c>
      <c r="F7" s="10" t="n">
        <f aca="false">D7*E7</f>
        <v>6960</v>
      </c>
      <c r="G7" s="5" t="s">
        <v>292</v>
      </c>
    </row>
    <row r="8" customFormat="false" ht="15" hidden="false" customHeight="false" outlineLevel="0" collapsed="false">
      <c r="A8" s="5" t="s">
        <v>250</v>
      </c>
      <c r="B8" s="5" t="s">
        <v>251</v>
      </c>
      <c r="C8" s="5" t="s">
        <v>252</v>
      </c>
      <c r="D8" s="16" t="n">
        <v>6</v>
      </c>
      <c r="E8" s="10" t="n">
        <f aca="false">'2 Insumos'!$D$8</f>
        <v>1200</v>
      </c>
      <c r="F8" s="10" t="n">
        <f aca="false">D8*E8</f>
        <v>7200</v>
      </c>
      <c r="G8" s="5" t="s">
        <v>292</v>
      </c>
    </row>
    <row r="9" customFormat="false" ht="15" hidden="false" customHeight="false" outlineLevel="0" collapsed="false">
      <c r="A9" s="5" t="s">
        <v>253</v>
      </c>
      <c r="B9" s="5" t="s">
        <v>254</v>
      </c>
      <c r="C9" s="5" t="s">
        <v>131</v>
      </c>
      <c r="D9" s="16" t="n">
        <v>0.035</v>
      </c>
      <c r="E9" s="10" t="n">
        <f aca="false">'2 Insumos'!$D$9</f>
        <v>150000</v>
      </c>
      <c r="F9" s="10" t="n">
        <f aca="false">D9*E9</f>
        <v>5250</v>
      </c>
      <c r="G9" s="5" t="s">
        <v>292</v>
      </c>
    </row>
    <row r="10" customFormat="false" ht="15" hidden="false" customHeight="false" outlineLevel="0" collapsed="false">
      <c r="A10" s="5" t="s">
        <v>255</v>
      </c>
      <c r="B10" s="5" t="s">
        <v>256</v>
      </c>
      <c r="C10" s="5" t="s">
        <v>45</v>
      </c>
      <c r="D10" s="16" t="n">
        <v>1</v>
      </c>
      <c r="E10" s="10" t="n">
        <f aca="false">'2 Insumos'!$D$10</f>
        <v>5000</v>
      </c>
      <c r="F10" s="10" t="n">
        <f aca="false">D10*E10</f>
        <v>5000</v>
      </c>
      <c r="G10" s="5" t="s">
        <v>292</v>
      </c>
    </row>
    <row r="11" customFormat="false" ht="15" hidden="false" customHeight="false" outlineLevel="0" collapsed="false">
      <c r="A11" s="5" t="s">
        <v>273</v>
      </c>
      <c r="B11" s="5" t="s">
        <v>274</v>
      </c>
      <c r="C11" s="5" t="s">
        <v>45</v>
      </c>
      <c r="D11" s="16" t="n">
        <v>1</v>
      </c>
      <c r="E11" s="10" t="n">
        <f aca="false">'2 Insumos'!$D$16</f>
        <v>50000</v>
      </c>
      <c r="F11" s="10" t="n">
        <f aca="false">D11*E11</f>
        <v>50000</v>
      </c>
      <c r="G11" s="5" t="s">
        <v>293</v>
      </c>
    </row>
    <row r="12" customFormat="false" ht="15" hidden="false" customHeight="false" outlineLevel="0" collapsed="false">
      <c r="A12" s="2"/>
      <c r="B12" s="2"/>
      <c r="C12" s="2"/>
      <c r="D12" s="2"/>
      <c r="E12" s="5" t="s">
        <v>21</v>
      </c>
      <c r="F12" s="10" t="n">
        <f aca="false">SUMIF(G6:G11,"MAT",F6:F11)</f>
        <v>99810</v>
      </c>
      <c r="G12" s="2"/>
    </row>
    <row r="13" customFormat="false" ht="15" hidden="false" customHeight="false" outlineLevel="0" collapsed="false">
      <c r="A13" s="2"/>
      <c r="B13" s="2"/>
      <c r="C13" s="2"/>
      <c r="D13" s="2"/>
      <c r="E13" s="5" t="s">
        <v>294</v>
      </c>
      <c r="F13" s="10" t="n">
        <f aca="false">SUMIF(G6:G11,"MO",F6:F11)</f>
        <v>50000</v>
      </c>
      <c r="G13" s="2"/>
    </row>
    <row r="14" customFormat="false" ht="15" hidden="false" customHeight="false" outlineLevel="0" collapsed="false">
      <c r="A14" s="2"/>
      <c r="B14" s="2"/>
      <c r="C14" s="2"/>
      <c r="D14" s="2"/>
      <c r="E14" s="5" t="s">
        <v>295</v>
      </c>
      <c r="F14" s="10" t="n">
        <f aca="false">SUMIF(G6:G11,"EQ",F6:F11)</f>
        <v>0</v>
      </c>
      <c r="G14" s="2"/>
    </row>
    <row r="15" customFormat="false" ht="15" hidden="false" customHeight="false" outlineLevel="0" collapsed="false">
      <c r="A15" s="2"/>
      <c r="B15" s="2"/>
      <c r="C15" s="2"/>
      <c r="D15" s="2"/>
      <c r="E15" s="6" t="s">
        <v>296</v>
      </c>
      <c r="F15" s="17" t="n">
        <f aca="false">SUM(F12:F14)</f>
        <v>149810</v>
      </c>
      <c r="G15" s="2"/>
    </row>
    <row r="16" customFormat="false" ht="15" hidden="false" customHeight="false" outlineLevel="0" collapsed="false">
      <c r="A16" s="2"/>
      <c r="B16" s="2"/>
      <c r="C16" s="2"/>
      <c r="D16" s="2"/>
      <c r="E16" s="5" t="s">
        <v>297</v>
      </c>
      <c r="F16" s="10" t="n">
        <v>228717.83705925</v>
      </c>
      <c r="G16" s="2"/>
    </row>
    <row r="17" customFormat="false" ht="15" hidden="false" customHeight="false" outlineLevel="0" collapsed="false">
      <c r="A17" s="2"/>
      <c r="B17" s="2"/>
      <c r="C17" s="2"/>
      <c r="D17" s="2"/>
      <c r="E17" s="5" t="s">
        <v>298</v>
      </c>
      <c r="F17" s="10" t="n">
        <f aca="false">F16/'1 Coeficiente'!$H$12</f>
        <v>170000</v>
      </c>
      <c r="G17" s="2"/>
    </row>
    <row r="18" customFormat="false" ht="15" hidden="false" customHeight="false" outlineLevel="0" collapsed="false">
      <c r="A18" s="2"/>
      <c r="B18" s="2"/>
      <c r="C18" s="2"/>
      <c r="D18" s="2"/>
      <c r="E18" s="5" t="s">
        <v>299</v>
      </c>
      <c r="F18" s="10" t="n">
        <f aca="false">F15-F17</f>
        <v>-20190</v>
      </c>
      <c r="G18" s="2"/>
    </row>
    <row r="19" customFormat="false" ht="15" hidden="false" customHeight="false" outlineLevel="0" collapsed="false">
      <c r="A19" s="2"/>
      <c r="B19" s="2"/>
      <c r="C19" s="2"/>
      <c r="D19" s="2"/>
      <c r="E19" s="5" t="s">
        <v>300</v>
      </c>
      <c r="F19" s="10" t="n">
        <f aca="false">F16/'1 Coeficiente'!$B$17</f>
        <v>207925.3064175</v>
      </c>
      <c r="G19" s="2"/>
    </row>
    <row r="20" customFormat="false" ht="15" hidden="false" customHeight="false" outlineLevel="0" collapsed="false">
      <c r="A20" s="2"/>
      <c r="B20" s="2"/>
      <c r="C20" s="2"/>
      <c r="D20" s="2"/>
      <c r="E20" s="6" t="s">
        <v>301</v>
      </c>
      <c r="F20" s="18" t="n">
        <f aca="false">1-F15/F19</f>
        <v>0.279500881440609</v>
      </c>
      <c r="G20" s="2"/>
    </row>
    <row r="21" customFormat="false" ht="15" hidden="false" customHeight="false" outlineLevel="0" collapsed="false">
      <c r="A21" s="2"/>
      <c r="B21" s="2"/>
      <c r="C21" s="2"/>
      <c r="D21" s="2"/>
      <c r="E21" s="5" t="s">
        <v>302</v>
      </c>
      <c r="F21" s="5" t="str">
        <f aca="false">IF(F18&gt;0,"ACU supera la oferta: margen menor al cotizado","OK: ACU dentro del costo cotizado")</f>
        <v>OK: ACU dentro del costo cotizado</v>
      </c>
      <c r="G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</row>
    <row r="23" customFormat="false" ht="15" hidden="false" customHeight="false" outlineLevel="0" collapsed="false">
      <c r="A23" s="15" t="s">
        <v>303</v>
      </c>
      <c r="B23" s="15"/>
      <c r="C23" s="15"/>
      <c r="D23" s="15"/>
      <c r="E23" s="15"/>
      <c r="F23" s="15"/>
      <c r="G23" s="15"/>
    </row>
    <row r="24" customFormat="false" ht="42" hidden="false" customHeight="true" outlineLevel="0" collapsed="false">
      <c r="A24" s="4" t="s">
        <v>235</v>
      </c>
      <c r="B24" s="4" t="s">
        <v>236</v>
      </c>
      <c r="C24" s="4" t="s">
        <v>37</v>
      </c>
      <c r="D24" s="4" t="s">
        <v>288</v>
      </c>
      <c r="E24" s="4" t="s">
        <v>289</v>
      </c>
      <c r="F24" s="4" t="s">
        <v>290</v>
      </c>
      <c r="G24" s="4" t="s">
        <v>291</v>
      </c>
    </row>
    <row r="25" customFormat="false" ht="15" hidden="false" customHeight="false" outlineLevel="0" collapsed="false">
      <c r="A25" s="5" t="s">
        <v>241</v>
      </c>
      <c r="B25" s="5" t="s">
        <v>242</v>
      </c>
      <c r="C25" s="5" t="s">
        <v>170</v>
      </c>
      <c r="D25" s="16" t="n">
        <v>60</v>
      </c>
      <c r="E25" s="10" t="n">
        <f aca="false">'2 Insumos'!$D$5</f>
        <v>700</v>
      </c>
      <c r="F25" s="10" t="n">
        <f aca="false">D25*E25</f>
        <v>42000</v>
      </c>
      <c r="G25" s="5" t="s">
        <v>292</v>
      </c>
    </row>
    <row r="26" customFormat="false" ht="15" hidden="false" customHeight="false" outlineLevel="0" collapsed="false">
      <c r="A26" s="5" t="s">
        <v>247</v>
      </c>
      <c r="B26" s="5" t="s">
        <v>248</v>
      </c>
      <c r="C26" s="5" t="s">
        <v>249</v>
      </c>
      <c r="D26" s="16" t="n">
        <v>0.1</v>
      </c>
      <c r="E26" s="10" t="n">
        <f aca="false">'2 Insumos'!$D$7</f>
        <v>58000</v>
      </c>
      <c r="F26" s="10" t="n">
        <f aca="false">D26*E26</f>
        <v>5800</v>
      </c>
      <c r="G26" s="5" t="s">
        <v>292</v>
      </c>
    </row>
    <row r="27" customFormat="false" ht="15" hidden="false" customHeight="false" outlineLevel="0" collapsed="false">
      <c r="A27" s="5" t="s">
        <v>250</v>
      </c>
      <c r="B27" s="5" t="s">
        <v>251</v>
      </c>
      <c r="C27" s="5" t="s">
        <v>252</v>
      </c>
      <c r="D27" s="16" t="n">
        <v>6</v>
      </c>
      <c r="E27" s="10" t="n">
        <f aca="false">'2 Insumos'!$D$8</f>
        <v>1200</v>
      </c>
      <c r="F27" s="10" t="n">
        <f aca="false">D27*E27</f>
        <v>7200</v>
      </c>
      <c r="G27" s="5" t="s">
        <v>292</v>
      </c>
    </row>
    <row r="28" customFormat="false" ht="15" hidden="false" customHeight="false" outlineLevel="0" collapsed="false">
      <c r="A28" s="5" t="s">
        <v>253</v>
      </c>
      <c r="B28" s="5" t="s">
        <v>254</v>
      </c>
      <c r="C28" s="5" t="s">
        <v>131</v>
      </c>
      <c r="D28" s="16" t="n">
        <v>0.035</v>
      </c>
      <c r="E28" s="10" t="n">
        <f aca="false">'2 Insumos'!$D$9</f>
        <v>150000</v>
      </c>
      <c r="F28" s="10" t="n">
        <f aca="false">D28*E28</f>
        <v>5250</v>
      </c>
      <c r="G28" s="5" t="s">
        <v>292</v>
      </c>
    </row>
    <row r="29" customFormat="false" ht="15" hidden="false" customHeight="false" outlineLevel="0" collapsed="false">
      <c r="A29" s="5" t="s">
        <v>276</v>
      </c>
      <c r="B29" s="5" t="s">
        <v>277</v>
      </c>
      <c r="C29" s="5" t="s">
        <v>45</v>
      </c>
      <c r="D29" s="16" t="n">
        <v>1</v>
      </c>
      <c r="E29" s="10" t="n">
        <f aca="false">'2 Insumos'!$D$17</f>
        <v>31000</v>
      </c>
      <c r="F29" s="10" t="n">
        <f aca="false">D29*E29</f>
        <v>31000</v>
      </c>
      <c r="G29" s="5" t="s">
        <v>293</v>
      </c>
    </row>
    <row r="30" customFormat="false" ht="15" hidden="false" customHeight="false" outlineLevel="0" collapsed="false">
      <c r="A30" s="2"/>
      <c r="B30" s="2"/>
      <c r="C30" s="2"/>
      <c r="D30" s="2"/>
      <c r="E30" s="5" t="s">
        <v>21</v>
      </c>
      <c r="F30" s="10" t="n">
        <f aca="false">SUMIF(G25:G29,"MAT",F25:F29)</f>
        <v>60250</v>
      </c>
      <c r="G30" s="2"/>
    </row>
    <row r="31" customFormat="false" ht="15" hidden="false" customHeight="false" outlineLevel="0" collapsed="false">
      <c r="A31" s="2"/>
      <c r="B31" s="2"/>
      <c r="C31" s="2"/>
      <c r="D31" s="2"/>
      <c r="E31" s="5" t="s">
        <v>294</v>
      </c>
      <c r="F31" s="10" t="n">
        <f aca="false">SUMIF(G25:G29,"MO",F25:F29)</f>
        <v>31000</v>
      </c>
      <c r="G31" s="2"/>
    </row>
    <row r="32" customFormat="false" ht="15" hidden="false" customHeight="false" outlineLevel="0" collapsed="false">
      <c r="A32" s="2"/>
      <c r="B32" s="2"/>
      <c r="C32" s="2"/>
      <c r="D32" s="2"/>
      <c r="E32" s="5" t="s">
        <v>295</v>
      </c>
      <c r="F32" s="10" t="n">
        <f aca="false">SUMIF(G25:G29,"EQ",F25:F29)</f>
        <v>0</v>
      </c>
      <c r="G32" s="2"/>
    </row>
    <row r="33" customFormat="false" ht="15" hidden="false" customHeight="false" outlineLevel="0" collapsed="false">
      <c r="A33" s="2"/>
      <c r="B33" s="2"/>
      <c r="C33" s="2"/>
      <c r="D33" s="2"/>
      <c r="E33" s="6" t="s">
        <v>296</v>
      </c>
      <c r="F33" s="17" t="n">
        <f aca="false">SUM(F30:F32)</f>
        <v>91250</v>
      </c>
      <c r="G33" s="2"/>
    </row>
    <row r="34" customFormat="false" ht="15" hidden="false" customHeight="false" outlineLevel="0" collapsed="false">
      <c r="A34" s="2"/>
      <c r="B34" s="2"/>
      <c r="C34" s="2"/>
      <c r="D34" s="2"/>
      <c r="E34" s="5" t="s">
        <v>297</v>
      </c>
      <c r="F34" s="10" t="n">
        <v>127090.429659576</v>
      </c>
      <c r="G34" s="2"/>
    </row>
    <row r="35" customFormat="false" ht="15" hidden="false" customHeight="false" outlineLevel="0" collapsed="false">
      <c r="A35" s="2"/>
      <c r="B35" s="2"/>
      <c r="C35" s="2"/>
      <c r="D35" s="2"/>
      <c r="E35" s="5" t="s">
        <v>298</v>
      </c>
      <c r="F35" s="10" t="n">
        <f aca="false">F34/'1 Coeficiente'!$H$12</f>
        <v>94463</v>
      </c>
      <c r="G35" s="2"/>
    </row>
    <row r="36" customFormat="false" ht="15" hidden="false" customHeight="false" outlineLevel="0" collapsed="false">
      <c r="A36" s="2"/>
      <c r="B36" s="2"/>
      <c r="C36" s="2"/>
      <c r="D36" s="2"/>
      <c r="E36" s="5" t="s">
        <v>299</v>
      </c>
      <c r="F36" s="10" t="n">
        <f aca="false">F33-F35</f>
        <v>-3213.00000000001</v>
      </c>
      <c r="G36" s="2"/>
    </row>
    <row r="37" customFormat="false" ht="15" hidden="false" customHeight="false" outlineLevel="0" collapsed="false">
      <c r="A37" s="2"/>
      <c r="B37" s="2"/>
      <c r="C37" s="2"/>
      <c r="D37" s="2"/>
      <c r="E37" s="5" t="s">
        <v>300</v>
      </c>
      <c r="F37" s="10" t="n">
        <f aca="false">F34/'1 Coeficiente'!$B$17</f>
        <v>115536.754235978</v>
      </c>
      <c r="G37" s="2"/>
    </row>
    <row r="38" customFormat="false" ht="15" hidden="false" customHeight="false" outlineLevel="0" collapsed="false">
      <c r="A38" s="2"/>
      <c r="B38" s="2"/>
      <c r="C38" s="2"/>
      <c r="D38" s="2"/>
      <c r="E38" s="6" t="s">
        <v>301</v>
      </c>
      <c r="F38" s="18" t="n">
        <f aca="false">1-F33/F37</f>
        <v>0.210208036365413</v>
      </c>
      <c r="G38" s="2"/>
    </row>
    <row r="39" customFormat="false" ht="15" hidden="false" customHeight="false" outlineLevel="0" collapsed="false">
      <c r="A39" s="2"/>
      <c r="B39" s="2"/>
      <c r="C39" s="2"/>
      <c r="D39" s="2"/>
      <c r="E39" s="5" t="s">
        <v>302</v>
      </c>
      <c r="F39" s="5" t="str">
        <f aca="false">IF(F36&gt;0,"ACU supera la oferta: margen menor al cotizado","OK: ACU dentro del costo cotizado")</f>
        <v>OK: ACU dentro del costo cotizado</v>
      </c>
      <c r="G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</row>
    <row r="41" customFormat="false" ht="15" hidden="false" customHeight="false" outlineLevel="0" collapsed="false">
      <c r="A41" s="15" t="s">
        <v>304</v>
      </c>
      <c r="B41" s="15"/>
      <c r="C41" s="15"/>
      <c r="D41" s="15"/>
      <c r="E41" s="15"/>
      <c r="F41" s="15"/>
      <c r="G41" s="15"/>
    </row>
    <row r="42" customFormat="false" ht="42" hidden="false" customHeight="true" outlineLevel="0" collapsed="false">
      <c r="A42" s="4" t="s">
        <v>235</v>
      </c>
      <c r="B42" s="4" t="s">
        <v>236</v>
      </c>
      <c r="C42" s="4" t="s">
        <v>37</v>
      </c>
      <c r="D42" s="4" t="s">
        <v>305</v>
      </c>
      <c r="E42" s="4" t="s">
        <v>289</v>
      </c>
      <c r="F42" s="4" t="s">
        <v>306</v>
      </c>
      <c r="G42" s="4" t="s">
        <v>291</v>
      </c>
    </row>
    <row r="43" customFormat="false" ht="15" hidden="false" customHeight="false" outlineLevel="0" collapsed="false">
      <c r="A43" s="5" t="s">
        <v>259</v>
      </c>
      <c r="B43" s="5" t="s">
        <v>260</v>
      </c>
      <c r="C43" s="5" t="s">
        <v>131</v>
      </c>
      <c r="D43" s="16" t="n">
        <v>1.05</v>
      </c>
      <c r="E43" s="10" t="n">
        <f aca="false">'2 Insumos'!$D$11</f>
        <v>900000</v>
      </c>
      <c r="F43" s="10" t="n">
        <f aca="false">D43*E43</f>
        <v>945000</v>
      </c>
      <c r="G43" s="5" t="s">
        <v>292</v>
      </c>
    </row>
    <row r="44" customFormat="false" ht="15" hidden="false" customHeight="false" outlineLevel="0" collapsed="false">
      <c r="A44" s="5" t="s">
        <v>263</v>
      </c>
      <c r="B44" s="5" t="s">
        <v>264</v>
      </c>
      <c r="C44" s="5" t="s">
        <v>252</v>
      </c>
      <c r="D44" s="16" t="n">
        <v>100</v>
      </c>
      <c r="E44" s="10" t="n">
        <f aca="false">'2 Insumos'!$D$12</f>
        <v>9500</v>
      </c>
      <c r="F44" s="10" t="n">
        <f aca="false">D44*E44</f>
        <v>950000</v>
      </c>
      <c r="G44" s="5" t="s">
        <v>292</v>
      </c>
    </row>
    <row r="45" customFormat="false" ht="15" hidden="false" customHeight="false" outlineLevel="0" collapsed="false">
      <c r="A45" s="5" t="s">
        <v>266</v>
      </c>
      <c r="B45" s="5" t="s">
        <v>267</v>
      </c>
      <c r="C45" s="5" t="s">
        <v>252</v>
      </c>
      <c r="D45" s="16" t="n">
        <v>1.5</v>
      </c>
      <c r="E45" s="10" t="n">
        <f aca="false">'2 Insumos'!$D$13</f>
        <v>15000</v>
      </c>
      <c r="F45" s="10" t="n">
        <f aca="false">D45*E45</f>
        <v>22500</v>
      </c>
      <c r="G45" s="5" t="s">
        <v>292</v>
      </c>
    </row>
    <row r="46" customFormat="false" ht="15" hidden="false" customHeight="false" outlineLevel="0" collapsed="false">
      <c r="A46" s="5" t="s">
        <v>268</v>
      </c>
      <c r="B46" s="5" t="s">
        <v>269</v>
      </c>
      <c r="C46" s="5" t="s">
        <v>45</v>
      </c>
      <c r="D46" s="16" t="n">
        <v>8</v>
      </c>
      <c r="E46" s="10" t="n">
        <f aca="false">'2 Insumos'!$D$14</f>
        <v>35000</v>
      </c>
      <c r="F46" s="10" t="n">
        <f aca="false">D46*E46</f>
        <v>280000</v>
      </c>
      <c r="G46" s="5" t="s">
        <v>307</v>
      </c>
    </row>
    <row r="47" customFormat="false" ht="15" hidden="false" customHeight="false" outlineLevel="0" collapsed="false">
      <c r="A47" s="5" t="s">
        <v>271</v>
      </c>
      <c r="B47" s="5" t="s">
        <v>272</v>
      </c>
      <c r="C47" s="5" t="s">
        <v>131</v>
      </c>
      <c r="D47" s="16" t="n">
        <v>1</v>
      </c>
      <c r="E47" s="10" t="n">
        <f aca="false">'2 Insumos'!$D$15</f>
        <v>55000</v>
      </c>
      <c r="F47" s="10" t="n">
        <f aca="false">D47*E47</f>
        <v>55000</v>
      </c>
      <c r="G47" s="5" t="s">
        <v>307</v>
      </c>
    </row>
    <row r="48" customFormat="false" ht="15" hidden="false" customHeight="false" outlineLevel="0" collapsed="false">
      <c r="A48" s="5" t="s">
        <v>279</v>
      </c>
      <c r="B48" s="5" t="s">
        <v>280</v>
      </c>
      <c r="C48" s="5" t="s">
        <v>131</v>
      </c>
      <c r="D48" s="16" t="n">
        <v>1</v>
      </c>
      <c r="E48" s="10" t="n">
        <f aca="false">'2 Insumos'!$D$18</f>
        <v>850000</v>
      </c>
      <c r="F48" s="10" t="n">
        <f aca="false">D48*E48</f>
        <v>850000</v>
      </c>
      <c r="G48" s="5" t="s">
        <v>293</v>
      </c>
    </row>
    <row r="49" customFormat="false" ht="15" hidden="false" customHeight="false" outlineLevel="0" collapsed="false">
      <c r="A49" s="2"/>
      <c r="B49" s="2"/>
      <c r="C49" s="2"/>
      <c r="D49" s="2"/>
      <c r="E49" s="5" t="s">
        <v>21</v>
      </c>
      <c r="F49" s="10" t="n">
        <f aca="false">SUMIF(G43:G48,"MAT",F43:F48)</f>
        <v>1917500</v>
      </c>
      <c r="G49" s="2"/>
    </row>
    <row r="50" customFormat="false" ht="15" hidden="false" customHeight="false" outlineLevel="0" collapsed="false">
      <c r="A50" s="2"/>
      <c r="B50" s="2"/>
      <c r="C50" s="2"/>
      <c r="D50" s="2"/>
      <c r="E50" s="5" t="s">
        <v>294</v>
      </c>
      <c r="F50" s="10" t="n">
        <f aca="false">SUMIF(G43:G48,"MO",F43:F48)</f>
        <v>850000</v>
      </c>
      <c r="G50" s="2"/>
    </row>
    <row r="51" customFormat="false" ht="15" hidden="false" customHeight="false" outlineLevel="0" collapsed="false">
      <c r="A51" s="2"/>
      <c r="B51" s="2"/>
      <c r="C51" s="2"/>
      <c r="D51" s="2"/>
      <c r="E51" s="5" t="s">
        <v>295</v>
      </c>
      <c r="F51" s="10" t="n">
        <f aca="false">SUMIF(G43:G48,"EQ",F43:F48)</f>
        <v>335000</v>
      </c>
      <c r="G51" s="2"/>
    </row>
    <row r="52" customFormat="false" ht="15" hidden="false" customHeight="false" outlineLevel="0" collapsed="false">
      <c r="A52" s="2"/>
      <c r="B52" s="2"/>
      <c r="C52" s="2"/>
      <c r="D52" s="2"/>
      <c r="E52" s="6" t="s">
        <v>296</v>
      </c>
      <c r="F52" s="17" t="n">
        <f aca="false">SUM(F49:F51)</f>
        <v>3102500</v>
      </c>
      <c r="G52" s="2"/>
    </row>
    <row r="53" customFormat="false" ht="15" hidden="false" customHeight="false" outlineLevel="0" collapsed="false">
      <c r="A53" s="2"/>
      <c r="B53" s="2"/>
      <c r="C53" s="2"/>
      <c r="D53" s="2"/>
      <c r="E53" s="5" t="s">
        <v>297</v>
      </c>
      <c r="F53" s="10" t="n">
        <v>3543781.07537685</v>
      </c>
      <c r="G53" s="2"/>
    </row>
    <row r="54" customFormat="false" ht="15" hidden="false" customHeight="false" outlineLevel="0" collapsed="false">
      <c r="A54" s="2"/>
      <c r="B54" s="2"/>
      <c r="C54" s="2"/>
      <c r="D54" s="2"/>
      <c r="E54" s="5" t="s">
        <v>298</v>
      </c>
      <c r="F54" s="10" t="n">
        <f aca="false">F53/'1 Coeficiente'!$H$12</f>
        <v>2634000</v>
      </c>
      <c r="G54" s="2"/>
    </row>
    <row r="55" customFormat="false" ht="15" hidden="false" customHeight="false" outlineLevel="0" collapsed="false">
      <c r="A55" s="2"/>
      <c r="B55" s="2"/>
      <c r="C55" s="2"/>
      <c r="D55" s="2"/>
      <c r="E55" s="5" t="s">
        <v>299</v>
      </c>
      <c r="F55" s="10" t="n">
        <f aca="false">F52-F54</f>
        <v>468500</v>
      </c>
      <c r="G55" s="2"/>
    </row>
    <row r="56" customFormat="false" ht="15" hidden="false" customHeight="false" outlineLevel="0" collapsed="false">
      <c r="A56" s="2"/>
      <c r="B56" s="2"/>
      <c r="C56" s="2"/>
      <c r="D56" s="2"/>
      <c r="E56" s="5" t="s">
        <v>300</v>
      </c>
      <c r="F56" s="10" t="n">
        <f aca="false">F53/'1 Coeficiente'!$B$17</f>
        <v>3221619.1594335</v>
      </c>
      <c r="G56" s="2"/>
    </row>
    <row r="57" customFormat="false" ht="15" hidden="false" customHeight="false" outlineLevel="0" collapsed="false">
      <c r="A57" s="2"/>
      <c r="B57" s="2"/>
      <c r="C57" s="2"/>
      <c r="D57" s="2"/>
      <c r="E57" s="6" t="s">
        <v>301</v>
      </c>
      <c r="F57" s="18" t="n">
        <f aca="false">1-F52/F56</f>
        <v>0.0369749351299631</v>
      </c>
      <c r="G57" s="2"/>
    </row>
    <row r="58" customFormat="false" ht="15" hidden="false" customHeight="false" outlineLevel="0" collapsed="false">
      <c r="A58" s="2"/>
      <c r="B58" s="2"/>
      <c r="C58" s="2"/>
      <c r="D58" s="2"/>
      <c r="E58" s="5" t="s">
        <v>302</v>
      </c>
      <c r="F58" s="5" t="str">
        <f aca="false">IF(F55&gt;0,"ACU supera la oferta: margen menor al cotizado","OK: ACU dentro del costo cotizado")</f>
        <v>ACU supera la oferta: margen menor al cotizado</v>
      </c>
      <c r="G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</row>
    <row r="60" customFormat="false" ht="15" hidden="false" customHeight="false" outlineLevel="0" collapsed="false">
      <c r="A60" s="15" t="s">
        <v>308</v>
      </c>
      <c r="B60" s="15"/>
      <c r="C60" s="15"/>
      <c r="D60" s="15"/>
      <c r="E60" s="15"/>
      <c r="F60" s="15"/>
      <c r="G60" s="15"/>
    </row>
    <row r="61" customFormat="false" ht="42" hidden="false" customHeight="true" outlineLevel="0" collapsed="false">
      <c r="A61" s="4" t="s">
        <v>235</v>
      </c>
      <c r="B61" s="4" t="s">
        <v>236</v>
      </c>
      <c r="C61" s="4" t="s">
        <v>37</v>
      </c>
      <c r="D61" s="4" t="s">
        <v>305</v>
      </c>
      <c r="E61" s="4" t="s">
        <v>289</v>
      </c>
      <c r="F61" s="4" t="s">
        <v>306</v>
      </c>
      <c r="G61" s="4" t="s">
        <v>291</v>
      </c>
    </row>
    <row r="62" customFormat="false" ht="15" hidden="false" customHeight="false" outlineLevel="0" collapsed="false">
      <c r="A62" s="5" t="s">
        <v>259</v>
      </c>
      <c r="B62" s="5" t="s">
        <v>260</v>
      </c>
      <c r="C62" s="5" t="s">
        <v>131</v>
      </c>
      <c r="D62" s="16" t="n">
        <v>1.05</v>
      </c>
      <c r="E62" s="10" t="n">
        <f aca="false">'2 Insumos'!$D$11</f>
        <v>900000</v>
      </c>
      <c r="F62" s="10" t="n">
        <f aca="false">D62*E62</f>
        <v>945000</v>
      </c>
      <c r="G62" s="5" t="s">
        <v>292</v>
      </c>
    </row>
    <row r="63" customFormat="false" ht="15" hidden="false" customHeight="false" outlineLevel="0" collapsed="false">
      <c r="A63" s="5" t="s">
        <v>263</v>
      </c>
      <c r="B63" s="5" t="s">
        <v>264</v>
      </c>
      <c r="C63" s="5" t="s">
        <v>252</v>
      </c>
      <c r="D63" s="16" t="n">
        <v>120</v>
      </c>
      <c r="E63" s="10" t="n">
        <f aca="false">'2 Insumos'!$D$12</f>
        <v>9500</v>
      </c>
      <c r="F63" s="10" t="n">
        <f aca="false">D63*E63</f>
        <v>1140000</v>
      </c>
      <c r="G63" s="5" t="s">
        <v>292</v>
      </c>
    </row>
    <row r="64" customFormat="false" ht="15" hidden="false" customHeight="false" outlineLevel="0" collapsed="false">
      <c r="A64" s="5" t="s">
        <v>266</v>
      </c>
      <c r="B64" s="5" t="s">
        <v>267</v>
      </c>
      <c r="C64" s="5" t="s">
        <v>252</v>
      </c>
      <c r="D64" s="16" t="n">
        <v>2</v>
      </c>
      <c r="E64" s="10" t="n">
        <f aca="false">'2 Insumos'!$D$13</f>
        <v>15000</v>
      </c>
      <c r="F64" s="10" t="n">
        <f aca="false">D64*E64</f>
        <v>30000</v>
      </c>
      <c r="G64" s="5" t="s">
        <v>292</v>
      </c>
    </row>
    <row r="65" customFormat="false" ht="15" hidden="false" customHeight="false" outlineLevel="0" collapsed="false">
      <c r="A65" s="5" t="s">
        <v>268</v>
      </c>
      <c r="B65" s="5" t="s">
        <v>269</v>
      </c>
      <c r="C65" s="5" t="s">
        <v>45</v>
      </c>
      <c r="D65" s="16" t="n">
        <v>12</v>
      </c>
      <c r="E65" s="10" t="n">
        <f aca="false">'2 Insumos'!$D$14</f>
        <v>35000</v>
      </c>
      <c r="F65" s="10" t="n">
        <f aca="false">D65*E65</f>
        <v>420000</v>
      </c>
      <c r="G65" s="5" t="s">
        <v>307</v>
      </c>
    </row>
    <row r="66" customFormat="false" ht="15" hidden="false" customHeight="false" outlineLevel="0" collapsed="false">
      <c r="A66" s="5" t="s">
        <v>271</v>
      </c>
      <c r="B66" s="5" t="s">
        <v>272</v>
      </c>
      <c r="C66" s="5" t="s">
        <v>131</v>
      </c>
      <c r="D66" s="16" t="n">
        <v>1</v>
      </c>
      <c r="E66" s="10" t="n">
        <f aca="false">'2 Insumos'!$D$15</f>
        <v>55000</v>
      </c>
      <c r="F66" s="10" t="n">
        <f aca="false">D66*E66</f>
        <v>55000</v>
      </c>
      <c r="G66" s="5" t="s">
        <v>307</v>
      </c>
    </row>
    <row r="67" customFormat="false" ht="15" hidden="false" customHeight="false" outlineLevel="0" collapsed="false">
      <c r="A67" s="5" t="s">
        <v>282</v>
      </c>
      <c r="B67" s="5" t="s">
        <v>283</v>
      </c>
      <c r="C67" s="5" t="s">
        <v>131</v>
      </c>
      <c r="D67" s="16" t="n">
        <v>1</v>
      </c>
      <c r="E67" s="10" t="n">
        <f aca="false">'2 Insumos'!$D$19</f>
        <v>800000</v>
      </c>
      <c r="F67" s="10" t="n">
        <f aca="false">D67*E67</f>
        <v>800000</v>
      </c>
      <c r="G67" s="5" t="s">
        <v>293</v>
      </c>
    </row>
    <row r="68" customFormat="false" ht="15" hidden="false" customHeight="false" outlineLevel="0" collapsed="false">
      <c r="A68" s="2"/>
      <c r="B68" s="2"/>
      <c r="C68" s="2"/>
      <c r="D68" s="2"/>
      <c r="E68" s="5" t="s">
        <v>21</v>
      </c>
      <c r="F68" s="10" t="n">
        <f aca="false">SUMIF(G62:G67,"MAT",F62:F67)</f>
        <v>2115000</v>
      </c>
      <c r="G68" s="2"/>
    </row>
    <row r="69" customFormat="false" ht="15" hidden="false" customHeight="false" outlineLevel="0" collapsed="false">
      <c r="A69" s="2"/>
      <c r="B69" s="2"/>
      <c r="C69" s="2"/>
      <c r="D69" s="2"/>
      <c r="E69" s="5" t="s">
        <v>294</v>
      </c>
      <c r="F69" s="10" t="n">
        <f aca="false">SUMIF(G62:G67,"MO",F62:F67)</f>
        <v>800000</v>
      </c>
      <c r="G69" s="2"/>
    </row>
    <row r="70" customFormat="false" ht="15" hidden="false" customHeight="false" outlineLevel="0" collapsed="false">
      <c r="A70" s="2"/>
      <c r="B70" s="2"/>
      <c r="C70" s="2"/>
      <c r="D70" s="2"/>
      <c r="E70" s="5" t="s">
        <v>295</v>
      </c>
      <c r="F70" s="10" t="n">
        <f aca="false">SUMIF(G62:G67,"EQ",F62:F67)</f>
        <v>475000</v>
      </c>
      <c r="G70" s="2"/>
    </row>
    <row r="71" customFormat="false" ht="15" hidden="false" customHeight="false" outlineLevel="0" collapsed="false">
      <c r="A71" s="2"/>
      <c r="B71" s="2"/>
      <c r="C71" s="2"/>
      <c r="D71" s="2"/>
      <c r="E71" s="6" t="s">
        <v>296</v>
      </c>
      <c r="F71" s="17" t="n">
        <f aca="false">SUM(F68:F70)</f>
        <v>3390000</v>
      </c>
      <c r="G71" s="2"/>
    </row>
    <row r="72" customFormat="false" ht="15" hidden="false" customHeight="false" outlineLevel="0" collapsed="false">
      <c r="A72" s="2"/>
      <c r="B72" s="2"/>
      <c r="C72" s="2"/>
      <c r="D72" s="2"/>
      <c r="E72" s="5" t="s">
        <v>297</v>
      </c>
      <c r="F72" s="10" t="n">
        <v>3942019.19166825</v>
      </c>
      <c r="G72" s="2"/>
    </row>
    <row r="73" customFormat="false" ht="15" hidden="false" customHeight="false" outlineLevel="0" collapsed="false">
      <c r="A73" s="2"/>
      <c r="B73" s="2"/>
      <c r="C73" s="2"/>
      <c r="D73" s="2"/>
      <c r="E73" s="5" t="s">
        <v>298</v>
      </c>
      <c r="F73" s="10" t="n">
        <f aca="false">F72/'1 Coeficiente'!$H$12</f>
        <v>2930000</v>
      </c>
      <c r="G73" s="2"/>
    </row>
    <row r="74" customFormat="false" ht="15" hidden="false" customHeight="false" outlineLevel="0" collapsed="false">
      <c r="A74" s="2"/>
      <c r="B74" s="2"/>
      <c r="C74" s="2"/>
      <c r="D74" s="2"/>
      <c r="E74" s="5" t="s">
        <v>299</v>
      </c>
      <c r="F74" s="10" t="n">
        <f aca="false">F71-F73</f>
        <v>460000</v>
      </c>
      <c r="G74" s="2"/>
    </row>
    <row r="75" customFormat="false" ht="15" hidden="false" customHeight="false" outlineLevel="0" collapsed="false">
      <c r="A75" s="2"/>
      <c r="B75" s="2"/>
      <c r="C75" s="2"/>
      <c r="D75" s="2"/>
      <c r="E75" s="5" t="s">
        <v>300</v>
      </c>
      <c r="F75" s="10" t="n">
        <f aca="false">F72/'1 Coeficiente'!$B$17</f>
        <v>3583653.8106075</v>
      </c>
      <c r="G75" s="2"/>
    </row>
    <row r="76" customFormat="false" ht="15" hidden="false" customHeight="false" outlineLevel="0" collapsed="false">
      <c r="A76" s="2"/>
      <c r="B76" s="2"/>
      <c r="C76" s="2"/>
      <c r="D76" s="2"/>
      <c r="E76" s="6" t="s">
        <v>301</v>
      </c>
      <c r="F76" s="18" t="n">
        <f aca="false">1-F71/F75</f>
        <v>0.0540380909657877</v>
      </c>
      <c r="G76" s="2"/>
    </row>
    <row r="77" customFormat="false" ht="15" hidden="false" customHeight="false" outlineLevel="0" collapsed="false">
      <c r="A77" s="2"/>
      <c r="B77" s="2"/>
      <c r="C77" s="2"/>
      <c r="D77" s="2"/>
      <c r="E77" s="5" t="s">
        <v>302</v>
      </c>
      <c r="F77" s="5" t="str">
        <f aca="false">IF(F74&gt;0,"ACU supera la oferta: margen menor al cotizado","OK: ACU dentro del costo cotizado")</f>
        <v>ACU supera la oferta: margen menor al cotizado</v>
      </c>
      <c r="G7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6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7" min="5" style="0" width="14"/>
    <col collapsed="false" customWidth="true" hidden="false" outlineLevel="0" max="9" min="8" style="0" width="13"/>
    <col collapsed="false" customWidth="true" hidden="false" outlineLevel="0" max="10" min="10" style="0" width="12"/>
    <col collapsed="false" customWidth="true" hidden="false" outlineLevel="0" max="12" min="11" style="0" width="16"/>
    <col collapsed="false" customWidth="true" hidden="false" outlineLevel="0" max="13" min="13" style="0" width="15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1" t="s">
        <v>309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310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42" hidden="false" customHeight="true" outlineLevel="0" collapsed="false">
      <c r="A4" s="4" t="s">
        <v>35</v>
      </c>
      <c r="B4" s="4" t="s">
        <v>36</v>
      </c>
      <c r="C4" s="4" t="s">
        <v>37</v>
      </c>
      <c r="D4" s="4" t="s">
        <v>311</v>
      </c>
      <c r="E4" s="4" t="s">
        <v>312</v>
      </c>
      <c r="F4" s="4" t="s">
        <v>313</v>
      </c>
      <c r="G4" s="4" t="s">
        <v>314</v>
      </c>
      <c r="H4" s="4" t="s">
        <v>315</v>
      </c>
      <c r="I4" s="4" t="s">
        <v>316</v>
      </c>
      <c r="J4" s="4" t="s">
        <v>317</v>
      </c>
      <c r="K4" s="4" t="s">
        <v>318</v>
      </c>
      <c r="L4" s="4" t="s">
        <v>319</v>
      </c>
      <c r="M4" s="4" t="s">
        <v>320</v>
      </c>
      <c r="N4" s="4" t="s">
        <v>321</v>
      </c>
    </row>
    <row r="5" customFormat="false" ht="15" hidden="false" customHeight="false" outlineLevel="0" collapsed="false">
      <c r="A5" s="5" t="s">
        <v>322</v>
      </c>
      <c r="B5" s="5" t="s">
        <v>323</v>
      </c>
      <c r="C5" s="5" t="s">
        <v>45</v>
      </c>
      <c r="D5" s="19" t="n">
        <v>51.704</v>
      </c>
      <c r="E5" s="10" t="n">
        <f aca="false">'3 ACU'!F16</f>
        <v>228717.83705925</v>
      </c>
      <c r="F5" s="10" t="n">
        <f aca="false">E5/'1 Coeficiente'!$B$17</f>
        <v>207925.3064175</v>
      </c>
      <c r="G5" s="10" t="n">
        <f aca="false">'3 ACU'!F15</f>
        <v>149810</v>
      </c>
      <c r="H5" s="10" t="n">
        <f aca="false">'3 ACU'!F12</f>
        <v>99810</v>
      </c>
      <c r="I5" s="10" t="n">
        <f aca="false">'3 ACU'!F13</f>
        <v>50000</v>
      </c>
      <c r="J5" s="10" t="n">
        <f aca="false">'3 ACU'!F14</f>
        <v>0</v>
      </c>
      <c r="K5" s="10" t="n">
        <f aca="false">D5*F5</f>
        <v>10750570.0430104</v>
      </c>
      <c r="L5" s="10" t="n">
        <f aca="false">D5*G5</f>
        <v>7745776.24</v>
      </c>
      <c r="M5" s="10" t="n">
        <f aca="false">K5-L5</f>
        <v>3004793.80301042</v>
      </c>
      <c r="N5" s="14" t="n">
        <f aca="false">IFERROR(M5/K5,0)</f>
        <v>0.279500881440609</v>
      </c>
    </row>
    <row r="6" customFormat="false" ht="15" hidden="false" customHeight="false" outlineLevel="0" collapsed="false">
      <c r="A6" s="5" t="s">
        <v>324</v>
      </c>
      <c r="B6" s="5" t="s">
        <v>325</v>
      </c>
      <c r="C6" s="5" t="s">
        <v>45</v>
      </c>
      <c r="D6" s="19" t="n">
        <v>173.409</v>
      </c>
      <c r="E6" s="10" t="n">
        <f aca="false">'3 ACU'!F34</f>
        <v>127090.429659576</v>
      </c>
      <c r="F6" s="10" t="n">
        <f aca="false">E6/'1 Coeficiente'!$B$17</f>
        <v>115536.754235978</v>
      </c>
      <c r="G6" s="10" t="n">
        <f aca="false">'3 ACU'!F33</f>
        <v>91250</v>
      </c>
      <c r="H6" s="10" t="n">
        <f aca="false">'3 ACU'!F30</f>
        <v>60250</v>
      </c>
      <c r="I6" s="10" t="n">
        <f aca="false">'3 ACU'!F31</f>
        <v>31000</v>
      </c>
      <c r="J6" s="10" t="n">
        <f aca="false">'3 ACU'!F32</f>
        <v>0</v>
      </c>
      <c r="K6" s="10" t="n">
        <f aca="false">D6*F6</f>
        <v>20035113.0153068</v>
      </c>
      <c r="L6" s="10" t="n">
        <f aca="false">D6*G6</f>
        <v>15823571.25</v>
      </c>
      <c r="M6" s="10" t="n">
        <f aca="false">K6-L6</f>
        <v>4211541.76530676</v>
      </c>
      <c r="N6" s="14" t="n">
        <f aca="false">IFERROR(M6/K6,0)</f>
        <v>0.210208036365413</v>
      </c>
    </row>
    <row r="7" customFormat="false" ht="15" hidden="false" customHeight="false" outlineLevel="0" collapsed="false">
      <c r="A7" s="5" t="s">
        <v>326</v>
      </c>
      <c r="B7" s="5" t="s">
        <v>327</v>
      </c>
      <c r="C7" s="5" t="s">
        <v>131</v>
      </c>
      <c r="D7" s="19" t="n">
        <v>97.5</v>
      </c>
      <c r="E7" s="10" t="n">
        <f aca="false">'3 ACU'!F53</f>
        <v>3543781.07537685</v>
      </c>
      <c r="F7" s="10" t="n">
        <f aca="false">E7/'1 Coeficiente'!$B$17</f>
        <v>3221619.1594335</v>
      </c>
      <c r="G7" s="10" t="n">
        <f aca="false">'3 ACU'!F52</f>
        <v>3102500</v>
      </c>
      <c r="H7" s="10" t="n">
        <f aca="false">'3 ACU'!F49</f>
        <v>1917500</v>
      </c>
      <c r="I7" s="10" t="n">
        <f aca="false">'3 ACU'!F50</f>
        <v>850000</v>
      </c>
      <c r="J7" s="10" t="n">
        <f aca="false">'3 ACU'!F51</f>
        <v>335000</v>
      </c>
      <c r="K7" s="10" t="n">
        <f aca="false">D7*F7</f>
        <v>314107868.044766</v>
      </c>
      <c r="L7" s="10" t="n">
        <f aca="false">D7*G7</f>
        <v>302493750</v>
      </c>
      <c r="M7" s="10" t="n">
        <f aca="false">K7-L7</f>
        <v>11614118.0447662</v>
      </c>
      <c r="N7" s="14" t="n">
        <f aca="false">IFERROR(M7/K7,0)</f>
        <v>0.0369749351299631</v>
      </c>
    </row>
    <row r="8" customFormat="false" ht="15" hidden="false" customHeight="false" outlineLevel="0" collapsed="false">
      <c r="A8" s="5" t="s">
        <v>328</v>
      </c>
      <c r="B8" s="5" t="s">
        <v>329</v>
      </c>
      <c r="C8" s="5" t="s">
        <v>131</v>
      </c>
      <c r="D8" s="19" t="n">
        <v>132.4</v>
      </c>
      <c r="E8" s="10" t="n">
        <f aca="false">'3 ACU'!F72</f>
        <v>3942019.19166825</v>
      </c>
      <c r="F8" s="10" t="n">
        <f aca="false">E8/'1 Coeficiente'!$B$17</f>
        <v>3583653.8106075</v>
      </c>
      <c r="G8" s="10" t="n">
        <f aca="false">'3 ACU'!F71</f>
        <v>3390000</v>
      </c>
      <c r="H8" s="10" t="n">
        <f aca="false">'3 ACU'!F68</f>
        <v>2115000</v>
      </c>
      <c r="I8" s="10" t="n">
        <f aca="false">'3 ACU'!F69</f>
        <v>800000</v>
      </c>
      <c r="J8" s="10" t="n">
        <f aca="false">'3 ACU'!F70</f>
        <v>475000</v>
      </c>
      <c r="K8" s="10" t="n">
        <f aca="false">D8*F8</f>
        <v>474475764.524433</v>
      </c>
      <c r="L8" s="10" t="n">
        <f aca="false">D8*G8</f>
        <v>448836000</v>
      </c>
      <c r="M8" s="10" t="n">
        <f aca="false">K8-L8</f>
        <v>25639764.524433</v>
      </c>
      <c r="N8" s="14" t="n">
        <f aca="false">IFERROR(M8/K8,0)</f>
        <v>0.0540380909657878</v>
      </c>
    </row>
    <row r="9" customFormat="false" ht="15" hidden="false" customHeight="false" outlineLevel="0" collapsed="false">
      <c r="A9" s="2"/>
      <c r="B9" s="6" t="s">
        <v>330</v>
      </c>
      <c r="C9" s="2"/>
      <c r="D9" s="2"/>
      <c r="E9" s="2"/>
      <c r="F9" s="2"/>
      <c r="G9" s="2"/>
      <c r="H9" s="2"/>
      <c r="I9" s="2"/>
      <c r="J9" s="2"/>
      <c r="K9" s="17" t="n">
        <f aca="false">SUM(K5:K8)</f>
        <v>819369315.627517</v>
      </c>
      <c r="L9" s="17" t="n">
        <f aca="false">SUM(L5:L8)</f>
        <v>774899097.49</v>
      </c>
      <c r="M9" s="17" t="n">
        <f aca="false">SUM(M5:M8)</f>
        <v>44470218.1375164</v>
      </c>
      <c r="N9" s="18" t="n">
        <f aca="false">IFERROR(M9/K9,0)</f>
        <v>0.0542737167347532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6"/>
    <col collapsed="false" customWidth="true" hidden="false" outlineLevel="0" max="3" min="3" style="0" width="6"/>
    <col collapsed="false" customWidth="true" hidden="false" outlineLevel="0" max="9" min="4" style="0" width="12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1" t="s">
        <v>331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332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42" hidden="false" customHeight="true" outlineLevel="0" collapsed="false">
      <c r="A4" s="4" t="s">
        <v>35</v>
      </c>
      <c r="B4" s="4" t="s">
        <v>36</v>
      </c>
      <c r="C4" s="4" t="s">
        <v>37</v>
      </c>
      <c r="D4" s="4" t="s">
        <v>311</v>
      </c>
      <c r="E4" s="4" t="s">
        <v>333</v>
      </c>
      <c r="F4" s="4" t="s">
        <v>334</v>
      </c>
      <c r="G4" s="4" t="s">
        <v>335</v>
      </c>
      <c r="H4" s="4" t="s">
        <v>336</v>
      </c>
      <c r="I4" s="4" t="s">
        <v>337</v>
      </c>
      <c r="J4" s="4" t="s">
        <v>338</v>
      </c>
    </row>
    <row r="5" customFormat="false" ht="15" hidden="false" customHeight="false" outlineLevel="0" collapsed="false">
      <c r="A5" s="5" t="s">
        <v>322</v>
      </c>
      <c r="B5" s="5" t="s">
        <v>323</v>
      </c>
      <c r="C5" s="5" t="s">
        <v>45</v>
      </c>
      <c r="D5" s="19" t="n">
        <f aca="false">'4 Presupuesto control'!D5</f>
        <v>51.704</v>
      </c>
      <c r="E5" s="19" t="n">
        <v>10</v>
      </c>
      <c r="F5" s="19" t="n">
        <v>20</v>
      </c>
      <c r="G5" s="19" t="n">
        <v>18</v>
      </c>
      <c r="H5" s="19" t="n">
        <f aca="false">E5+G5</f>
        <v>28</v>
      </c>
      <c r="I5" s="14" t="n">
        <f aca="false">IFERROR(H5/D5,0)</f>
        <v>0.541544174531951</v>
      </c>
      <c r="J5" s="14" t="n">
        <f aca="false">IFERROR(G5/F5,0)</f>
        <v>0.9</v>
      </c>
    </row>
    <row r="6" customFormat="false" ht="15" hidden="false" customHeight="false" outlineLevel="0" collapsed="false">
      <c r="A6" s="5" t="s">
        <v>324</v>
      </c>
      <c r="B6" s="5" t="s">
        <v>325</v>
      </c>
      <c r="C6" s="5" t="s">
        <v>45</v>
      </c>
      <c r="D6" s="19" t="n">
        <f aca="false">'4 Presupuesto control'!D6</f>
        <v>173.409</v>
      </c>
      <c r="E6" s="19" t="n">
        <v>40</v>
      </c>
      <c r="F6" s="19" t="n">
        <v>80</v>
      </c>
      <c r="G6" s="19" t="n">
        <v>95</v>
      </c>
      <c r="H6" s="19" t="n">
        <f aca="false">E6+G6</f>
        <v>135</v>
      </c>
      <c r="I6" s="14" t="n">
        <f aca="false">IFERROR(H6/D6,0)</f>
        <v>0.778506305901078</v>
      </c>
      <c r="J6" s="14" t="n">
        <f aca="false">IFERROR(G6/F6,0)</f>
        <v>1.1875</v>
      </c>
    </row>
    <row r="7" customFormat="false" ht="15" hidden="false" customHeight="false" outlineLevel="0" collapsed="false">
      <c r="A7" s="5" t="s">
        <v>326</v>
      </c>
      <c r="B7" s="5" t="s">
        <v>327</v>
      </c>
      <c r="C7" s="5" t="s">
        <v>131</v>
      </c>
      <c r="D7" s="19" t="n">
        <f aca="false">'4 Presupuesto control'!D7</f>
        <v>97.5</v>
      </c>
      <c r="E7" s="19" t="n">
        <v>0</v>
      </c>
      <c r="F7" s="19" t="n">
        <v>48.75</v>
      </c>
      <c r="G7" s="19" t="n">
        <v>40</v>
      </c>
      <c r="H7" s="19" t="n">
        <f aca="false">E7+G7</f>
        <v>40</v>
      </c>
      <c r="I7" s="14" t="n">
        <f aca="false">IFERROR(H7/D7,0)</f>
        <v>0.41025641025641</v>
      </c>
      <c r="J7" s="14" t="n">
        <f aca="false">IFERROR(G7/F7,0)</f>
        <v>0.820512820512821</v>
      </c>
    </row>
    <row r="8" customFormat="false" ht="15" hidden="false" customHeight="false" outlineLevel="0" collapsed="false">
      <c r="A8" s="5" t="s">
        <v>328</v>
      </c>
      <c r="B8" s="5" t="s">
        <v>329</v>
      </c>
      <c r="C8" s="5" t="s">
        <v>131</v>
      </c>
      <c r="D8" s="19" t="n">
        <f aca="false">'4 Presupuesto control'!D8</f>
        <v>132.4</v>
      </c>
      <c r="E8" s="19" t="n">
        <v>0</v>
      </c>
      <c r="F8" s="19" t="n">
        <v>66.2</v>
      </c>
      <c r="G8" s="19" t="n">
        <v>58</v>
      </c>
      <c r="H8" s="19" t="n">
        <f aca="false">E8+G8</f>
        <v>58</v>
      </c>
      <c r="I8" s="14" t="n">
        <f aca="false">IFERROR(H8/D8,0)</f>
        <v>0.438066465256798</v>
      </c>
      <c r="J8" s="14" t="n">
        <f aca="false">IFERROR(G8/F8,0)</f>
        <v>0.876132930513595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9" min="4" style="0" width="14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20"/>
  </cols>
  <sheetData>
    <row r="1" customFormat="false" ht="17.35" hidden="false" customHeight="false" outlineLevel="0" collapsed="false">
      <c r="A1" s="1" t="s">
        <v>339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340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42" hidden="false" customHeight="true" outlineLevel="0" collapsed="false">
      <c r="A4" s="4" t="s">
        <v>235</v>
      </c>
      <c r="B4" s="4" t="s">
        <v>236</v>
      </c>
      <c r="C4" s="4" t="s">
        <v>37</v>
      </c>
      <c r="D4" s="4" t="s">
        <v>238</v>
      </c>
      <c r="E4" s="4" t="s">
        <v>341</v>
      </c>
      <c r="F4" s="4" t="s">
        <v>342</v>
      </c>
      <c r="G4" s="4" t="s">
        <v>343</v>
      </c>
      <c r="H4" s="4" t="s">
        <v>344</v>
      </c>
      <c r="I4" s="4" t="s">
        <v>345</v>
      </c>
      <c r="J4" s="2"/>
      <c r="K4" s="2"/>
      <c r="L4" s="2"/>
      <c r="M4" s="2"/>
    </row>
    <row r="5" customFormat="false" ht="15" hidden="false" customHeight="false" outlineLevel="0" collapsed="false">
      <c r="A5" s="6" t="s">
        <v>241</v>
      </c>
      <c r="B5" s="5" t="s">
        <v>242</v>
      </c>
      <c r="C5" s="5" t="s">
        <v>170</v>
      </c>
      <c r="D5" s="5" t="s">
        <v>243</v>
      </c>
      <c r="E5" s="19" t="n">
        <v>0</v>
      </c>
      <c r="F5" s="19" t="n">
        <f aca="false">'5 Medición mes'!$G$6*'3 ACU'!D25</f>
        <v>5700</v>
      </c>
      <c r="G5" s="19" t="n">
        <v>0</v>
      </c>
      <c r="H5" s="19" t="n">
        <v>0</v>
      </c>
      <c r="I5" s="20" t="n">
        <f aca="false">SUM(E5:H5)</f>
        <v>5700</v>
      </c>
      <c r="J5" s="2"/>
      <c r="K5" s="2"/>
      <c r="L5" s="2"/>
      <c r="M5" s="2"/>
    </row>
    <row r="6" customFormat="false" ht="15" hidden="false" customHeight="false" outlineLevel="0" collapsed="false">
      <c r="A6" s="6" t="s">
        <v>245</v>
      </c>
      <c r="B6" s="5" t="s">
        <v>246</v>
      </c>
      <c r="C6" s="5" t="s">
        <v>170</v>
      </c>
      <c r="D6" s="5" t="s">
        <v>243</v>
      </c>
      <c r="E6" s="19" t="n">
        <f aca="false">'5 Medición mes'!$G$5*'3 ACU'!D6</f>
        <v>1044</v>
      </c>
      <c r="F6" s="19" t="n">
        <v>0</v>
      </c>
      <c r="G6" s="19" t="n">
        <v>0</v>
      </c>
      <c r="H6" s="19" t="n">
        <v>0</v>
      </c>
      <c r="I6" s="20" t="n">
        <f aca="false">SUM(E6:H6)</f>
        <v>1044</v>
      </c>
      <c r="J6" s="2"/>
      <c r="K6" s="2"/>
      <c r="L6" s="2"/>
      <c r="M6" s="2"/>
    </row>
    <row r="7" customFormat="false" ht="15" hidden="false" customHeight="false" outlineLevel="0" collapsed="false">
      <c r="A7" s="6" t="s">
        <v>247</v>
      </c>
      <c r="B7" s="5" t="s">
        <v>248</v>
      </c>
      <c r="C7" s="5" t="s">
        <v>249</v>
      </c>
      <c r="D7" s="5" t="s">
        <v>243</v>
      </c>
      <c r="E7" s="19" t="n">
        <f aca="false">'5 Medición mes'!$G$5*'3 ACU'!D7</f>
        <v>2.16</v>
      </c>
      <c r="F7" s="19" t="n">
        <f aca="false">'5 Medición mes'!$G$6*'3 ACU'!D26</f>
        <v>9.5</v>
      </c>
      <c r="G7" s="19" t="n">
        <v>0</v>
      </c>
      <c r="H7" s="19" t="n">
        <v>0</v>
      </c>
      <c r="I7" s="20" t="n">
        <f aca="false">SUM(E7:H7)</f>
        <v>11.66</v>
      </c>
      <c r="J7" s="2"/>
      <c r="K7" s="2"/>
      <c r="L7" s="2"/>
      <c r="M7" s="2"/>
    </row>
    <row r="8" customFormat="false" ht="15" hidden="false" customHeight="false" outlineLevel="0" collapsed="false">
      <c r="A8" s="6" t="s">
        <v>250</v>
      </c>
      <c r="B8" s="5" t="s">
        <v>251</v>
      </c>
      <c r="C8" s="5" t="s">
        <v>252</v>
      </c>
      <c r="D8" s="5" t="s">
        <v>243</v>
      </c>
      <c r="E8" s="19" t="n">
        <f aca="false">'5 Medición mes'!$G$5*'3 ACU'!D8</f>
        <v>108</v>
      </c>
      <c r="F8" s="19" t="n">
        <f aca="false">'5 Medición mes'!$G$6*'3 ACU'!D27</f>
        <v>570</v>
      </c>
      <c r="G8" s="19" t="n">
        <v>0</v>
      </c>
      <c r="H8" s="19" t="n">
        <v>0</v>
      </c>
      <c r="I8" s="20" t="n">
        <f aca="false">SUM(E8:H8)</f>
        <v>678</v>
      </c>
      <c r="J8" s="2"/>
      <c r="K8" s="2"/>
      <c r="L8" s="2"/>
      <c r="M8" s="2"/>
    </row>
    <row r="9" customFormat="false" ht="15" hidden="false" customHeight="false" outlineLevel="0" collapsed="false">
      <c r="A9" s="6" t="s">
        <v>253</v>
      </c>
      <c r="B9" s="5" t="s">
        <v>254</v>
      </c>
      <c r="C9" s="5" t="s">
        <v>131</v>
      </c>
      <c r="D9" s="5" t="s">
        <v>243</v>
      </c>
      <c r="E9" s="19" t="n">
        <f aca="false">'5 Medición mes'!$G$5*'3 ACU'!D9</f>
        <v>0.63</v>
      </c>
      <c r="F9" s="19" t="n">
        <f aca="false">'5 Medición mes'!$G$6*'3 ACU'!D28</f>
        <v>3.325</v>
      </c>
      <c r="G9" s="19" t="n">
        <v>0</v>
      </c>
      <c r="H9" s="19" t="n">
        <v>0</v>
      </c>
      <c r="I9" s="20" t="n">
        <f aca="false">SUM(E9:H9)</f>
        <v>3.955</v>
      </c>
      <c r="J9" s="2"/>
      <c r="K9" s="2"/>
      <c r="L9" s="2"/>
      <c r="M9" s="2"/>
    </row>
    <row r="10" customFormat="false" ht="15" hidden="false" customHeight="false" outlineLevel="0" collapsed="false">
      <c r="A10" s="6" t="s">
        <v>255</v>
      </c>
      <c r="B10" s="5" t="s">
        <v>256</v>
      </c>
      <c r="C10" s="5" t="s">
        <v>45</v>
      </c>
      <c r="D10" s="5" t="s">
        <v>243</v>
      </c>
      <c r="E10" s="19" t="n">
        <f aca="false">'5 Medición mes'!$G$5*'3 ACU'!D10</f>
        <v>18</v>
      </c>
      <c r="F10" s="19" t="n">
        <v>0</v>
      </c>
      <c r="G10" s="19" t="n">
        <v>0</v>
      </c>
      <c r="H10" s="19" t="n">
        <v>0</v>
      </c>
      <c r="I10" s="20" t="n">
        <f aca="false">SUM(E10:H10)</f>
        <v>18</v>
      </c>
      <c r="J10" s="2"/>
      <c r="K10" s="2"/>
      <c r="L10" s="2"/>
      <c r="M10" s="2"/>
    </row>
    <row r="11" customFormat="false" ht="15" hidden="false" customHeight="false" outlineLevel="0" collapsed="false">
      <c r="A11" s="6" t="s">
        <v>259</v>
      </c>
      <c r="B11" s="5" t="s">
        <v>260</v>
      </c>
      <c r="C11" s="5" t="s">
        <v>131</v>
      </c>
      <c r="D11" s="5" t="s">
        <v>261</v>
      </c>
      <c r="E11" s="19" t="n">
        <v>0</v>
      </c>
      <c r="F11" s="19" t="n">
        <v>0</v>
      </c>
      <c r="G11" s="19" t="n">
        <f aca="false">'5 Medición mes'!$G$7*'3 ACU'!D43</f>
        <v>42</v>
      </c>
      <c r="H11" s="19" t="n">
        <f aca="false">'5 Medición mes'!$G$8*'3 ACU'!D62</f>
        <v>60.9</v>
      </c>
      <c r="I11" s="20" t="n">
        <f aca="false">SUM(E11:H11)</f>
        <v>102.9</v>
      </c>
      <c r="J11" s="2"/>
      <c r="K11" s="2"/>
      <c r="L11" s="2"/>
      <c r="M11" s="2"/>
    </row>
    <row r="12" customFormat="false" ht="15" hidden="false" customHeight="false" outlineLevel="0" collapsed="false">
      <c r="A12" s="6" t="s">
        <v>263</v>
      </c>
      <c r="B12" s="5" t="s">
        <v>264</v>
      </c>
      <c r="C12" s="5" t="s">
        <v>252</v>
      </c>
      <c r="D12" s="5" t="s">
        <v>261</v>
      </c>
      <c r="E12" s="19" t="n">
        <v>0</v>
      </c>
      <c r="F12" s="19" t="n">
        <v>0</v>
      </c>
      <c r="G12" s="19" t="n">
        <f aca="false">'5 Medición mes'!$G$7*'3 ACU'!D44</f>
        <v>4000</v>
      </c>
      <c r="H12" s="19" t="n">
        <f aca="false">'5 Medición mes'!$G$8*'3 ACU'!D63</f>
        <v>6960</v>
      </c>
      <c r="I12" s="20" t="n">
        <f aca="false">SUM(E12:H12)</f>
        <v>10960</v>
      </c>
      <c r="J12" s="2"/>
      <c r="K12" s="2"/>
      <c r="L12" s="2"/>
      <c r="M12" s="2"/>
    </row>
    <row r="13" customFormat="false" ht="15" hidden="false" customHeight="false" outlineLevel="0" collapsed="false">
      <c r="A13" s="6" t="s">
        <v>266</v>
      </c>
      <c r="B13" s="5" t="s">
        <v>267</v>
      </c>
      <c r="C13" s="5" t="s">
        <v>252</v>
      </c>
      <c r="D13" s="5" t="s">
        <v>243</v>
      </c>
      <c r="E13" s="19" t="n">
        <v>0</v>
      </c>
      <c r="F13" s="19" t="n">
        <v>0</v>
      </c>
      <c r="G13" s="19" t="n">
        <f aca="false">'5 Medición mes'!$G$7*'3 ACU'!D45</f>
        <v>60</v>
      </c>
      <c r="H13" s="19" t="n">
        <f aca="false">'5 Medición mes'!$G$8*'3 ACU'!D64</f>
        <v>116</v>
      </c>
      <c r="I13" s="20" t="n">
        <f aca="false">SUM(E13:H13)</f>
        <v>176</v>
      </c>
      <c r="J13" s="2"/>
      <c r="K13" s="2"/>
      <c r="L13" s="2"/>
      <c r="M13" s="2"/>
    </row>
    <row r="14" customFormat="false" ht="15" hidden="false" customHeight="false" outlineLevel="0" collapsed="false">
      <c r="A14" s="6" t="s">
        <v>268</v>
      </c>
      <c r="B14" s="5" t="s">
        <v>269</v>
      </c>
      <c r="C14" s="5" t="s">
        <v>45</v>
      </c>
      <c r="D14" s="5" t="s">
        <v>270</v>
      </c>
      <c r="E14" s="19" t="n">
        <v>0</v>
      </c>
      <c r="F14" s="19" t="n">
        <v>0</v>
      </c>
      <c r="G14" s="19" t="n">
        <f aca="false">'5 Medición mes'!$G$7*'3 ACU'!D46</f>
        <v>320</v>
      </c>
      <c r="H14" s="19" t="n">
        <f aca="false">'5 Medición mes'!$G$8*'3 ACU'!D65</f>
        <v>696</v>
      </c>
      <c r="I14" s="20" t="n">
        <f aca="false">SUM(E14:H14)</f>
        <v>1016</v>
      </c>
      <c r="J14" s="2"/>
      <c r="K14" s="2"/>
      <c r="L14" s="2"/>
      <c r="M14" s="2"/>
    </row>
    <row r="15" customFormat="false" ht="15" hidden="false" customHeight="false" outlineLevel="0" collapsed="false">
      <c r="A15" s="6" t="s">
        <v>271</v>
      </c>
      <c r="B15" s="5" t="s">
        <v>272</v>
      </c>
      <c r="C15" s="5" t="s">
        <v>131</v>
      </c>
      <c r="D15" s="5" t="s">
        <v>270</v>
      </c>
      <c r="E15" s="19" t="n">
        <v>0</v>
      </c>
      <c r="F15" s="19" t="n">
        <v>0</v>
      </c>
      <c r="G15" s="19" t="n">
        <f aca="false">'5 Medición mes'!$G$7*'3 ACU'!D47</f>
        <v>40</v>
      </c>
      <c r="H15" s="19" t="n">
        <f aca="false">'5 Medición mes'!$G$8*'3 ACU'!D66</f>
        <v>58</v>
      </c>
      <c r="I15" s="20" t="n">
        <f aca="false">SUM(E15:H15)</f>
        <v>98</v>
      </c>
      <c r="J15" s="2"/>
      <c r="K15" s="2"/>
      <c r="L15" s="2"/>
      <c r="M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customFormat="false" ht="15" hidden="false" customHeight="false" outlineLevel="0" collapsed="false">
      <c r="A17" s="13" t="s">
        <v>346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customFormat="false" ht="42" hidden="false" customHeight="true" outlineLevel="0" collapsed="false">
      <c r="A18" s="4" t="s">
        <v>235</v>
      </c>
      <c r="B18" s="4" t="s">
        <v>236</v>
      </c>
      <c r="C18" s="4" t="s">
        <v>37</v>
      </c>
      <c r="D18" s="4" t="s">
        <v>347</v>
      </c>
      <c r="E18" s="4" t="s">
        <v>348</v>
      </c>
      <c r="F18" s="4" t="s">
        <v>349</v>
      </c>
      <c r="G18" s="4" t="s">
        <v>350</v>
      </c>
      <c r="H18" s="4" t="s">
        <v>351</v>
      </c>
      <c r="I18" s="4" t="s">
        <v>352</v>
      </c>
      <c r="J18" s="4" t="s">
        <v>353</v>
      </c>
      <c r="K18" s="4" t="s">
        <v>354</v>
      </c>
      <c r="L18" s="4" t="s">
        <v>355</v>
      </c>
      <c r="M18" s="4" t="s">
        <v>302</v>
      </c>
    </row>
    <row r="19" customFormat="false" ht="15" hidden="false" customHeight="false" outlineLevel="0" collapsed="false">
      <c r="A19" s="6" t="s">
        <v>241</v>
      </c>
      <c r="B19" s="5" t="s">
        <v>242</v>
      </c>
      <c r="C19" s="5" t="s">
        <v>170</v>
      </c>
      <c r="D19" s="19" t="n">
        <v>2000</v>
      </c>
      <c r="E19" s="19" t="n">
        <v>5000</v>
      </c>
      <c r="F19" s="19" t="n">
        <v>1000</v>
      </c>
      <c r="G19" s="19" t="n">
        <f aca="false">D19+E19-F19</f>
        <v>6000</v>
      </c>
      <c r="H19" s="19" t="n">
        <f aca="false">I5</f>
        <v>5700</v>
      </c>
      <c r="I19" s="19" t="n">
        <f aca="false">G19-H19</f>
        <v>300</v>
      </c>
      <c r="J19" s="14" t="n">
        <f aca="false">IFERROR(I19/H19,0)</f>
        <v>0.0526315789473684</v>
      </c>
      <c r="K19" s="14" t="n">
        <f aca="false">'2 Insumos'!F5</f>
        <v>0.05</v>
      </c>
      <c r="L19" s="10" t="n">
        <f aca="false">I19*'2 Insumos'!$D$5</f>
        <v>210000</v>
      </c>
      <c r="M19" s="5" t="str">
        <f aca="false">IF(J19&gt;K19,"ALERTA",IF(J19&lt;-K19,"Revisar (consumo bajo)","OK"))</f>
        <v>ALERTA</v>
      </c>
    </row>
    <row r="20" customFormat="false" ht="15" hidden="false" customHeight="false" outlineLevel="0" collapsed="false">
      <c r="A20" s="6" t="s">
        <v>245</v>
      </c>
      <c r="B20" s="5" t="s">
        <v>246</v>
      </c>
      <c r="C20" s="5" t="s">
        <v>170</v>
      </c>
      <c r="D20" s="19" t="n">
        <v>0</v>
      </c>
      <c r="E20" s="19" t="n">
        <v>1200</v>
      </c>
      <c r="F20" s="19" t="n">
        <v>120</v>
      </c>
      <c r="G20" s="19" t="n">
        <f aca="false">D20+E20-F20</f>
        <v>1080</v>
      </c>
      <c r="H20" s="19" t="n">
        <f aca="false">I6</f>
        <v>1044</v>
      </c>
      <c r="I20" s="19" t="n">
        <f aca="false">G20-H20</f>
        <v>36</v>
      </c>
      <c r="J20" s="14" t="n">
        <f aca="false">IFERROR(I20/H20,0)</f>
        <v>0.0344827586206897</v>
      </c>
      <c r="K20" s="14" t="n">
        <f aca="false">'2 Insumos'!F6</f>
        <v>0.04</v>
      </c>
      <c r="L20" s="10" t="n">
        <f aca="false">I20*'2 Insumos'!$D$6</f>
        <v>46800</v>
      </c>
      <c r="M20" s="5" t="str">
        <f aca="false">IF(J20&gt;K20,"ALERTA",IF(J20&lt;-K20,"Revisar (consumo bajo)","OK"))</f>
        <v>OK</v>
      </c>
    </row>
    <row r="21" customFormat="false" ht="15" hidden="false" customHeight="false" outlineLevel="0" collapsed="false">
      <c r="A21" s="6" t="s">
        <v>247</v>
      </c>
      <c r="B21" s="5" t="s">
        <v>248</v>
      </c>
      <c r="C21" s="5" t="s">
        <v>249</v>
      </c>
      <c r="D21" s="19" t="n">
        <v>5</v>
      </c>
      <c r="E21" s="19" t="n">
        <v>12</v>
      </c>
      <c r="F21" s="19" t="n">
        <v>4</v>
      </c>
      <c r="G21" s="19" t="n">
        <f aca="false">D21+E21-F21</f>
        <v>13</v>
      </c>
      <c r="H21" s="19" t="n">
        <f aca="false">I7</f>
        <v>11.66</v>
      </c>
      <c r="I21" s="19" t="n">
        <f aca="false">G21-H21</f>
        <v>1.34</v>
      </c>
      <c r="J21" s="14" t="n">
        <f aca="false">IFERROR(I21/H21,0)</f>
        <v>0.114922813036021</v>
      </c>
      <c r="K21" s="14" t="n">
        <f aca="false">'2 Insumos'!F7</f>
        <v>0.05</v>
      </c>
      <c r="L21" s="10" t="n">
        <f aca="false">I21*'2 Insumos'!$D$7</f>
        <v>77720</v>
      </c>
      <c r="M21" s="5" t="str">
        <f aca="false">IF(J21&gt;K21,"ALERTA",IF(J21&lt;-K21,"Revisar (consumo bajo)","OK"))</f>
        <v>ALERTA</v>
      </c>
    </row>
    <row r="22" customFormat="false" ht="15" hidden="false" customHeight="false" outlineLevel="0" collapsed="false">
      <c r="A22" s="6" t="s">
        <v>250</v>
      </c>
      <c r="B22" s="5" t="s">
        <v>251</v>
      </c>
      <c r="C22" s="5" t="s">
        <v>252</v>
      </c>
      <c r="D22" s="19" t="n">
        <v>100</v>
      </c>
      <c r="E22" s="19" t="n">
        <v>700</v>
      </c>
      <c r="F22" s="19" t="n">
        <v>75</v>
      </c>
      <c r="G22" s="19" t="n">
        <f aca="false">D22+E22-F22</f>
        <v>725</v>
      </c>
      <c r="H22" s="19" t="n">
        <f aca="false">I8</f>
        <v>678</v>
      </c>
      <c r="I22" s="19" t="n">
        <f aca="false">G22-H22</f>
        <v>47</v>
      </c>
      <c r="J22" s="14" t="n">
        <f aca="false">IFERROR(I22/H22,0)</f>
        <v>0.0693215339233038</v>
      </c>
      <c r="K22" s="14" t="n">
        <f aca="false">'2 Insumos'!F8</f>
        <v>0.05</v>
      </c>
      <c r="L22" s="10" t="n">
        <f aca="false">I22*'2 Insumos'!$D$8</f>
        <v>56400</v>
      </c>
      <c r="M22" s="5" t="str">
        <f aca="false">IF(J22&gt;K22,"ALERTA",IF(J22&lt;-K22,"Revisar (consumo bajo)","OK"))</f>
        <v>ALERTA</v>
      </c>
    </row>
    <row r="23" customFormat="false" ht="15" hidden="false" customHeight="false" outlineLevel="0" collapsed="false">
      <c r="A23" s="6" t="s">
        <v>253</v>
      </c>
      <c r="B23" s="5" t="s">
        <v>254</v>
      </c>
      <c r="C23" s="5" t="s">
        <v>131</v>
      </c>
      <c r="D23" s="19" t="n">
        <v>1</v>
      </c>
      <c r="E23" s="19" t="n">
        <v>4</v>
      </c>
      <c r="F23" s="19" t="n">
        <v>0.8</v>
      </c>
      <c r="G23" s="19" t="n">
        <f aca="false">D23+E23-F23</f>
        <v>4.2</v>
      </c>
      <c r="H23" s="19" t="n">
        <f aca="false">I9</f>
        <v>3.955</v>
      </c>
      <c r="I23" s="19" t="n">
        <f aca="false">G23-H23</f>
        <v>0.245</v>
      </c>
      <c r="J23" s="14" t="n">
        <f aca="false">IFERROR(I23/H23,0)</f>
        <v>0.0619469026548673</v>
      </c>
      <c r="K23" s="14" t="n">
        <f aca="false">'2 Insumos'!F9</f>
        <v>0.1</v>
      </c>
      <c r="L23" s="10" t="n">
        <f aca="false">I23*'2 Insumos'!$D$9</f>
        <v>36750</v>
      </c>
      <c r="M23" s="5" t="str">
        <f aca="false">IF(J23&gt;K23,"ALERTA",IF(J23&lt;-K23,"Revisar (consumo bajo)","OK"))</f>
        <v>OK</v>
      </c>
    </row>
    <row r="24" customFormat="false" ht="15" hidden="false" customHeight="false" outlineLevel="0" collapsed="false">
      <c r="A24" s="6" t="s">
        <v>266</v>
      </c>
      <c r="B24" s="5" t="s">
        <v>267</v>
      </c>
      <c r="C24" s="5" t="s">
        <v>252</v>
      </c>
      <c r="D24" s="19" t="n">
        <v>20</v>
      </c>
      <c r="E24" s="19" t="n">
        <v>180</v>
      </c>
      <c r="F24" s="19" t="n">
        <v>15</v>
      </c>
      <c r="G24" s="19" t="n">
        <f aca="false">D24+E24-F24</f>
        <v>185</v>
      </c>
      <c r="H24" s="19" t="n">
        <f aca="false">I13</f>
        <v>176</v>
      </c>
      <c r="I24" s="19" t="n">
        <f aca="false">G24-H24</f>
        <v>9</v>
      </c>
      <c r="J24" s="14" t="n">
        <f aca="false">IFERROR(I24/H24,0)</f>
        <v>0.0511363636363636</v>
      </c>
      <c r="K24" s="14" t="n">
        <f aca="false">'2 Insumos'!F13</f>
        <v>0.1</v>
      </c>
      <c r="L24" s="10" t="n">
        <f aca="false">I24*'2 Insumos'!$D$13</f>
        <v>135000</v>
      </c>
      <c r="M24" s="5" t="str">
        <f aca="false">IF(J24&gt;K24,"ALERTA",IF(J24&lt;-K24,"Revisar (consumo bajo)","OK"))</f>
        <v>OK</v>
      </c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6" t="s">
        <v>356</v>
      </c>
      <c r="L25" s="17" t="n">
        <f aca="false">SUM(L19:L24)</f>
        <v>562670</v>
      </c>
      <c r="M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customFormat="false" ht="15" hidden="false" customHeight="false" outlineLevel="0" collapsed="false">
      <c r="A27" s="13" t="s">
        <v>357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customFormat="false" ht="42" hidden="false" customHeight="true" outlineLevel="0" collapsed="false">
      <c r="A28" s="4" t="s">
        <v>35</v>
      </c>
      <c r="B28" s="4" t="s">
        <v>236</v>
      </c>
      <c r="C28" s="4" t="s">
        <v>37</v>
      </c>
      <c r="D28" s="4" t="s">
        <v>358</v>
      </c>
      <c r="E28" s="4" t="s">
        <v>359</v>
      </c>
      <c r="F28" s="4" t="s">
        <v>352</v>
      </c>
      <c r="G28" s="4" t="s">
        <v>353</v>
      </c>
      <c r="H28" s="4" t="s">
        <v>360</v>
      </c>
      <c r="I28" s="4" t="s">
        <v>361</v>
      </c>
      <c r="J28" s="4" t="s">
        <v>354</v>
      </c>
      <c r="K28" s="4" t="s">
        <v>302</v>
      </c>
      <c r="L28" s="2"/>
      <c r="M28" s="2"/>
    </row>
    <row r="29" customFormat="false" ht="15" hidden="false" customHeight="false" outlineLevel="0" collapsed="false">
      <c r="A29" s="5" t="s">
        <v>326</v>
      </c>
      <c r="B29" s="5" t="s">
        <v>260</v>
      </c>
      <c r="C29" s="5" t="s">
        <v>131</v>
      </c>
      <c r="D29" s="19" t="n">
        <v>43.5</v>
      </c>
      <c r="E29" s="19" t="n">
        <f aca="false">G11</f>
        <v>42</v>
      </c>
      <c r="F29" s="19" t="n">
        <f aca="false">D29-E29</f>
        <v>1.5</v>
      </c>
      <c r="G29" s="14" t="n">
        <f aca="false">IFERROR(F29/E29,0)</f>
        <v>0.0357142857142857</v>
      </c>
      <c r="H29" s="10" t="n">
        <v>915000</v>
      </c>
      <c r="I29" s="10" t="n">
        <f aca="false">D29*H29</f>
        <v>39802500</v>
      </c>
      <c r="J29" s="14" t="n">
        <f aca="false">'2 Insumos'!F11</f>
        <v>0.03</v>
      </c>
      <c r="K29" s="5" t="str">
        <f aca="false">IF(ABS(G29)&gt;J29,"ALERTA","OK")</f>
        <v>ALERTA</v>
      </c>
      <c r="L29" s="2"/>
      <c r="M29" s="2"/>
    </row>
    <row r="30" customFormat="false" ht="15" hidden="false" customHeight="false" outlineLevel="0" collapsed="false">
      <c r="A30" s="5" t="s">
        <v>326</v>
      </c>
      <c r="B30" s="5" t="s">
        <v>264</v>
      </c>
      <c r="C30" s="5" t="s">
        <v>252</v>
      </c>
      <c r="D30" s="19" t="n">
        <v>3900</v>
      </c>
      <c r="E30" s="19" t="n">
        <f aca="false">G12</f>
        <v>4000</v>
      </c>
      <c r="F30" s="19" t="n">
        <f aca="false">D30-E30</f>
        <v>-100</v>
      </c>
      <c r="G30" s="14" t="n">
        <f aca="false">IFERROR(F30/E30,0)</f>
        <v>-0.025</v>
      </c>
      <c r="H30" s="10" t="n">
        <v>9500</v>
      </c>
      <c r="I30" s="10" t="n">
        <f aca="false">D30*H30</f>
        <v>37050000</v>
      </c>
      <c r="J30" s="14" t="n">
        <f aca="false">'2 Insumos'!F12</f>
        <v>0.03</v>
      </c>
      <c r="K30" s="5" t="str">
        <f aca="false">IF(ABS(G30)&gt;J30,"ALERTA","OK")</f>
        <v>OK</v>
      </c>
      <c r="L30" s="2"/>
      <c r="M30" s="2"/>
    </row>
    <row r="31" customFormat="false" ht="15" hidden="false" customHeight="false" outlineLevel="0" collapsed="false">
      <c r="A31" s="5" t="s">
        <v>328</v>
      </c>
      <c r="B31" s="5" t="s">
        <v>260</v>
      </c>
      <c r="C31" s="5" t="s">
        <v>131</v>
      </c>
      <c r="D31" s="19" t="n">
        <v>62</v>
      </c>
      <c r="E31" s="19" t="n">
        <f aca="false">H11</f>
        <v>60.9</v>
      </c>
      <c r="F31" s="19" t="n">
        <f aca="false">D31-E31</f>
        <v>1.09999999999999</v>
      </c>
      <c r="G31" s="14" t="n">
        <f aca="false">IFERROR(F31/E31,0)</f>
        <v>0.0180623973727421</v>
      </c>
      <c r="H31" s="10" t="n">
        <v>915000</v>
      </c>
      <c r="I31" s="10" t="n">
        <f aca="false">D31*H31</f>
        <v>56730000</v>
      </c>
      <c r="J31" s="14" t="n">
        <f aca="false">'2 Insumos'!F11</f>
        <v>0.03</v>
      </c>
      <c r="K31" s="5" t="str">
        <f aca="false">IF(ABS(G31)&gt;J31,"ALERTA","OK")</f>
        <v>OK</v>
      </c>
      <c r="L31" s="2"/>
      <c r="M31" s="2"/>
    </row>
    <row r="32" customFormat="false" ht="15" hidden="false" customHeight="false" outlineLevel="0" collapsed="false">
      <c r="A32" s="5" t="s">
        <v>328</v>
      </c>
      <c r="B32" s="5" t="s">
        <v>264</v>
      </c>
      <c r="C32" s="5" t="s">
        <v>252</v>
      </c>
      <c r="D32" s="19" t="n">
        <v>7300</v>
      </c>
      <c r="E32" s="19" t="n">
        <f aca="false">H12</f>
        <v>6960</v>
      </c>
      <c r="F32" s="19" t="n">
        <f aca="false">D32-E32</f>
        <v>340</v>
      </c>
      <c r="G32" s="14" t="n">
        <f aca="false">IFERROR(F32/E32,0)</f>
        <v>0.0488505747126437</v>
      </c>
      <c r="H32" s="10" t="n">
        <v>9500</v>
      </c>
      <c r="I32" s="10" t="n">
        <f aca="false">D32*H32</f>
        <v>69350000</v>
      </c>
      <c r="J32" s="14" t="n">
        <f aca="false">'2 Insumos'!F12</f>
        <v>0.03</v>
      </c>
      <c r="K32" s="5" t="str">
        <f aca="false">IF(ABS(G32)&gt;J32,"ALERTA","OK")</f>
        <v>ALERTA</v>
      </c>
      <c r="L32" s="2"/>
      <c r="M32" s="2"/>
    </row>
  </sheetData>
  <conditionalFormatting sqref="M19:M24">
    <cfRule type="expression" priority="2" aboveAverage="0" equalAverage="0" bottom="0" percent="0" rank="0" text="" dxfId="0">
      <formula>M19="ALERTA"</formula>
    </cfRule>
  </conditionalFormatting>
  <conditionalFormatting sqref="K29:K32">
    <cfRule type="expression" priority="3" aboveAverage="0" equalAverage="0" bottom="0" percent="0" rank="0" text="" dxfId="0">
      <formula>K29="ALERTA"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5" min="4" style="0" width="16"/>
    <col collapsed="false" customWidth="true" hidden="false" outlineLevel="0" max="7" min="6" style="0" width="17"/>
    <col collapsed="false" customWidth="true" hidden="false" outlineLevel="0" max="8" min="8" style="0" width="14"/>
    <col collapsed="false" customWidth="true" hidden="false" outlineLevel="0" max="9" min="9" style="0" width="17"/>
    <col collapsed="false" customWidth="true" hidden="false" outlineLevel="0" max="10" min="10" style="0" width="15"/>
  </cols>
  <sheetData>
    <row r="1" customFormat="false" ht="17.35" hidden="false" customHeight="false" outlineLevel="0" collapsed="false">
      <c r="A1" s="1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363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42" hidden="false" customHeight="true" outlineLevel="0" collapsed="false">
      <c r="A4" s="4" t="s">
        <v>35</v>
      </c>
      <c r="B4" s="4" t="s">
        <v>36</v>
      </c>
      <c r="C4" s="4" t="s">
        <v>364</v>
      </c>
      <c r="D4" s="4" t="s">
        <v>365</v>
      </c>
      <c r="E4" s="4" t="s">
        <v>366</v>
      </c>
      <c r="F4" s="4" t="s">
        <v>367</v>
      </c>
      <c r="G4" s="4" t="s">
        <v>368</v>
      </c>
      <c r="H4" s="4" t="s">
        <v>369</v>
      </c>
      <c r="I4" s="4" t="s">
        <v>370</v>
      </c>
      <c r="J4" s="4" t="s">
        <v>371</v>
      </c>
    </row>
    <row r="5" customFormat="false" ht="15" hidden="false" customHeight="false" outlineLevel="0" collapsed="false">
      <c r="A5" s="5" t="s">
        <v>322</v>
      </c>
      <c r="B5" s="5" t="s">
        <v>323</v>
      </c>
      <c r="C5" s="19" t="n">
        <f aca="false">'5 Medición mes'!$G$5</f>
        <v>18</v>
      </c>
      <c r="D5" s="10" t="n">
        <f aca="false">'2 Insumos'!$D$16</f>
        <v>50000</v>
      </c>
      <c r="E5" s="10" t="n">
        <f aca="false">C5*D5</f>
        <v>900000</v>
      </c>
      <c r="F5" s="10" t="n">
        <v>0</v>
      </c>
      <c r="G5" s="10" t="n">
        <f aca="false">'6 Materiales'!E6*'2 Insumos'!$D$6+'6 Materiales'!E7*'2 Insumos'!$D$7+'6 Materiales'!E8*'2 Insumos'!$D$8+'6 Materiales'!E9*'2 Insumos'!$D$9+'6 Materiales'!E10*'2 Insumos'!$D$10</f>
        <v>1796580</v>
      </c>
      <c r="H5" s="10" t="n">
        <v>0</v>
      </c>
      <c r="I5" s="17" t="n">
        <f aca="false">E5+F5+G5+H5</f>
        <v>2696580</v>
      </c>
      <c r="J5" s="10" t="n">
        <f aca="false">IFERROR(I5/C5,0)</f>
        <v>149810</v>
      </c>
    </row>
    <row r="6" customFormat="false" ht="15" hidden="false" customHeight="false" outlineLevel="0" collapsed="false">
      <c r="A6" s="5" t="s">
        <v>324</v>
      </c>
      <c r="B6" s="5" t="s">
        <v>325</v>
      </c>
      <c r="C6" s="19" t="n">
        <f aca="false">'5 Medición mes'!$G$6</f>
        <v>95</v>
      </c>
      <c r="D6" s="10" t="n">
        <f aca="false">'2 Insumos'!$D$17</f>
        <v>31000</v>
      </c>
      <c r="E6" s="10" t="n">
        <f aca="false">C6*D6</f>
        <v>2945000</v>
      </c>
      <c r="F6" s="10" t="n">
        <v>0</v>
      </c>
      <c r="G6" s="10" t="n">
        <f aca="false">'6 Materiales'!F5*'2 Insumos'!$D$5+'6 Materiales'!F7*'2 Insumos'!$D$7+'6 Materiales'!F8*'2 Insumos'!$D$8+'6 Materiales'!F9*'2 Insumos'!$D$9</f>
        <v>5723750</v>
      </c>
      <c r="H6" s="10" t="n">
        <v>0</v>
      </c>
      <c r="I6" s="17" t="n">
        <f aca="false">E6+F6+G6+H6</f>
        <v>8668750</v>
      </c>
      <c r="J6" s="10" t="n">
        <f aca="false">IFERROR(I6/C6,0)</f>
        <v>91250</v>
      </c>
    </row>
    <row r="7" customFormat="false" ht="15" hidden="false" customHeight="false" outlineLevel="0" collapsed="false">
      <c r="A7" s="5" t="s">
        <v>326</v>
      </c>
      <c r="B7" s="5" t="s">
        <v>327</v>
      </c>
      <c r="C7" s="19" t="n">
        <f aca="false">'5 Medición mes'!$G$7</f>
        <v>40</v>
      </c>
      <c r="D7" s="10" t="n">
        <f aca="false">'2 Insumos'!$D$18</f>
        <v>850000</v>
      </c>
      <c r="E7" s="10" t="n">
        <f aca="false">C7*D7</f>
        <v>34000000</v>
      </c>
      <c r="F7" s="10" t="n">
        <f aca="false">'6 Materiales'!I29+'6 Materiales'!I30</f>
        <v>76852500</v>
      </c>
      <c r="G7" s="10" t="n">
        <f aca="false">'6 Materiales'!G13*'2 Insumos'!$D$13</f>
        <v>900000</v>
      </c>
      <c r="H7" s="10" t="n">
        <f aca="false">'6 Materiales'!G14*'2 Insumos'!$D$14+'6 Materiales'!G15*'2 Insumos'!$D$15</f>
        <v>13400000</v>
      </c>
      <c r="I7" s="17" t="n">
        <f aca="false">E7+F7+G7+H7</f>
        <v>125152500</v>
      </c>
      <c r="J7" s="10" t="n">
        <f aca="false">IFERROR(I7/C7,0)</f>
        <v>3128812.5</v>
      </c>
    </row>
    <row r="8" customFormat="false" ht="15" hidden="false" customHeight="false" outlineLevel="0" collapsed="false">
      <c r="A8" s="5" t="s">
        <v>328</v>
      </c>
      <c r="B8" s="5" t="s">
        <v>329</v>
      </c>
      <c r="C8" s="19" t="n">
        <f aca="false">'5 Medición mes'!$G$8</f>
        <v>58</v>
      </c>
      <c r="D8" s="10" t="n">
        <f aca="false">'2 Insumos'!$D$19</f>
        <v>800000</v>
      </c>
      <c r="E8" s="10" t="n">
        <f aca="false">C8*D8</f>
        <v>46400000</v>
      </c>
      <c r="F8" s="10" t="n">
        <f aca="false">'6 Materiales'!I31+'6 Materiales'!I32</f>
        <v>126080000</v>
      </c>
      <c r="G8" s="10" t="n">
        <f aca="false">'6 Materiales'!H13*'2 Insumos'!$D$13</f>
        <v>1740000</v>
      </c>
      <c r="H8" s="10" t="n">
        <f aca="false">'6 Materiales'!H14*'2 Insumos'!$D$14+'6 Materiales'!H15*'2 Insumos'!$D$15</f>
        <v>27550000</v>
      </c>
      <c r="I8" s="17" t="n">
        <f aca="false">E8+F8+G8+H8</f>
        <v>201770000</v>
      </c>
      <c r="J8" s="10" t="n">
        <f aca="false">IFERROR(I8/C8,0)</f>
        <v>3478793.10344828</v>
      </c>
    </row>
    <row r="9" customFormat="false" ht="15" hidden="false" customHeight="false" outlineLevel="0" collapsed="false">
      <c r="A9" s="2"/>
      <c r="B9" s="6" t="s">
        <v>372</v>
      </c>
      <c r="C9" s="2"/>
      <c r="D9" s="2"/>
      <c r="E9" s="17" t="n">
        <f aca="false">SUM(E5:E8)</f>
        <v>84245000</v>
      </c>
      <c r="F9" s="17" t="n">
        <f aca="false">SUM(F5:F8)</f>
        <v>202932500</v>
      </c>
      <c r="G9" s="17" t="n">
        <f aca="false">SUM(G5:G8)</f>
        <v>10160330</v>
      </c>
      <c r="H9" s="17" t="n">
        <f aca="false">SUM(H5:H8)</f>
        <v>40950000</v>
      </c>
      <c r="I9" s="17" t="n">
        <f aca="false">SUM(I5:I8)</f>
        <v>338287830</v>
      </c>
      <c r="J9" s="2"/>
    </row>
    <row r="10" customFormat="false" ht="15" hidden="false" customHeight="false" outlineLevel="0" collapsed="false">
      <c r="A10" s="2"/>
      <c r="B10" s="5" t="s">
        <v>373</v>
      </c>
      <c r="C10" s="2"/>
      <c r="D10" s="2"/>
      <c r="E10" s="2"/>
      <c r="F10" s="2"/>
      <c r="G10" s="2"/>
      <c r="H10" s="2"/>
      <c r="I10" s="10" t="n">
        <f aca="false">'6 Materiales'!$L$25</f>
        <v>562670</v>
      </c>
      <c r="J10" s="2"/>
    </row>
    <row r="11" customFormat="false" ht="15" hidden="false" customHeight="false" outlineLevel="0" collapsed="false">
      <c r="A11" s="2"/>
      <c r="B11" s="6" t="s">
        <v>374</v>
      </c>
      <c r="C11" s="2"/>
      <c r="D11" s="2"/>
      <c r="E11" s="2"/>
      <c r="F11" s="2"/>
      <c r="G11" s="2"/>
      <c r="H11" s="2"/>
      <c r="I11" s="17" t="n">
        <f aca="false">I9+I10</f>
        <v>338850500</v>
      </c>
      <c r="J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4"/>
    <col collapsed="false" customWidth="true" hidden="false" outlineLevel="0" max="3" min="3" style="0" width="17"/>
    <col collapsed="false" customWidth="true" hidden="false" outlineLevel="0" max="7" min="4" style="0" width="15"/>
    <col collapsed="false" customWidth="true" hidden="false" outlineLevel="0" max="9" min="8" style="0" width="10"/>
    <col collapsed="false" customWidth="true" hidden="false" outlineLevel="0" max="11" min="10" style="0" width="11"/>
    <col collapsed="false" customWidth="true" hidden="false" outlineLevel="0" max="13" min="12" style="0" width="17"/>
    <col collapsed="false" customWidth="true" hidden="false" outlineLevel="0" max="14" min="14" style="0" width="30"/>
  </cols>
  <sheetData>
    <row r="1" customFormat="false" ht="17.35" hidden="false" customHeight="false" outlineLevel="0" collapsed="false">
      <c r="A1" s="1" t="s">
        <v>375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376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42" hidden="false" customHeight="true" outlineLevel="0" collapsed="false">
      <c r="A4" s="4" t="s">
        <v>35</v>
      </c>
      <c r="B4" s="4" t="s">
        <v>36</v>
      </c>
      <c r="C4" s="4" t="s">
        <v>377</v>
      </c>
      <c r="D4" s="4" t="s">
        <v>378</v>
      </c>
      <c r="E4" s="4" t="s">
        <v>379</v>
      </c>
      <c r="F4" s="4" t="s">
        <v>380</v>
      </c>
      <c r="G4" s="4" t="s">
        <v>381</v>
      </c>
      <c r="H4" s="4" t="s">
        <v>382</v>
      </c>
      <c r="I4" s="4" t="s">
        <v>383</v>
      </c>
      <c r="J4" s="4" t="s">
        <v>384</v>
      </c>
      <c r="K4" s="4" t="s">
        <v>385</v>
      </c>
      <c r="L4" s="4" t="s">
        <v>386</v>
      </c>
      <c r="M4" s="4" t="s">
        <v>387</v>
      </c>
      <c r="N4" s="4" t="s">
        <v>388</v>
      </c>
    </row>
    <row r="5" customFormat="false" ht="15" hidden="false" customHeight="false" outlineLevel="0" collapsed="false">
      <c r="A5" s="5" t="s">
        <v>322</v>
      </c>
      <c r="B5" s="5" t="s">
        <v>323</v>
      </c>
      <c r="C5" s="10" t="n">
        <f aca="false">'5 Medición mes'!G5*'4 Presupuesto control'!F5</f>
        <v>3742655.515515</v>
      </c>
      <c r="D5" s="10" t="n">
        <f aca="false">'5 Medición mes'!F5*'4 Presupuesto control'!G5</f>
        <v>2996200</v>
      </c>
      <c r="E5" s="10" t="n">
        <f aca="false">'5 Medición mes'!G5*'4 Presupuesto control'!G5</f>
        <v>2696580</v>
      </c>
      <c r="F5" s="10" t="n">
        <f aca="false">'7 Costo real mes'!I5</f>
        <v>2696580</v>
      </c>
      <c r="G5" s="10" t="n">
        <f aca="false">C5-F5</f>
        <v>1046075.515515</v>
      </c>
      <c r="H5" s="14" t="n">
        <f aca="false">IFERROR(G5/C5,0)</f>
        <v>0.279500881440609</v>
      </c>
      <c r="I5" s="14" t="n">
        <f aca="false">'4 Presupuesto control'!N5</f>
        <v>0.279500881440609</v>
      </c>
      <c r="J5" s="21" t="n">
        <f aca="false">IFERROR(E5/F5,0)</f>
        <v>1</v>
      </c>
      <c r="K5" s="21" t="n">
        <f aca="false">IFERROR(E5/D5,0)</f>
        <v>0.9</v>
      </c>
      <c r="L5" s="10" t="n">
        <f aca="false">IFERROR('4 Presupuesto control'!L5/J5,0)</f>
        <v>7745776.24</v>
      </c>
      <c r="M5" s="10" t="n">
        <f aca="false">'4 Presupuesto control'!K5-L5</f>
        <v>3004793.80301042</v>
      </c>
      <c r="N5" s="5" t="str">
        <f aca="false">IF(J5&lt;0.95,"Sobrecosto",IF(J5&lt;1,"Leve sobrecosto","Costo OK"))&amp;" · "&amp;IF(K5&lt;0.9,"Atrasado",IF(K5&lt;1,"Leve atraso","En plazo"))</f>
        <v>Costo OK · Leve atraso</v>
      </c>
    </row>
    <row r="6" customFormat="false" ht="15" hidden="false" customHeight="false" outlineLevel="0" collapsed="false">
      <c r="A6" s="5" t="s">
        <v>324</v>
      </c>
      <c r="B6" s="5" t="s">
        <v>325</v>
      </c>
      <c r="C6" s="10" t="n">
        <f aca="false">'5 Medición mes'!G6*'4 Presupuesto control'!F6</f>
        <v>10975991.6524179</v>
      </c>
      <c r="D6" s="10" t="n">
        <f aca="false">'5 Medición mes'!F6*'4 Presupuesto control'!G6</f>
        <v>7300000</v>
      </c>
      <c r="E6" s="10" t="n">
        <f aca="false">'5 Medición mes'!G6*'4 Presupuesto control'!G6</f>
        <v>8668750</v>
      </c>
      <c r="F6" s="10" t="n">
        <f aca="false">'7 Costo real mes'!I6</f>
        <v>8668750</v>
      </c>
      <c r="G6" s="10" t="n">
        <f aca="false">C6-F6</f>
        <v>2307241.65241794</v>
      </c>
      <c r="H6" s="14" t="n">
        <f aca="false">IFERROR(G6/C6,0)</f>
        <v>0.210208036365413</v>
      </c>
      <c r="I6" s="14" t="n">
        <f aca="false">'4 Presupuesto control'!N6</f>
        <v>0.210208036365413</v>
      </c>
      <c r="J6" s="21" t="n">
        <f aca="false">IFERROR(E6/F6,0)</f>
        <v>1</v>
      </c>
      <c r="K6" s="21" t="n">
        <f aca="false">IFERROR(E6/D6,0)</f>
        <v>1.1875</v>
      </c>
      <c r="L6" s="10" t="n">
        <f aca="false">IFERROR('4 Presupuesto control'!L6/J6,0)</f>
        <v>15823571.25</v>
      </c>
      <c r="M6" s="10" t="n">
        <f aca="false">'4 Presupuesto control'!K6-L6</f>
        <v>4211541.76530676</v>
      </c>
      <c r="N6" s="5" t="str">
        <f aca="false">IF(J6&lt;0.95,"Sobrecosto",IF(J6&lt;1,"Leve sobrecosto","Costo OK"))&amp;" · "&amp;IF(K6&lt;0.9,"Atrasado",IF(K6&lt;1,"Leve atraso","En plazo"))</f>
        <v>Costo OK · En plazo</v>
      </c>
    </row>
    <row r="7" customFormat="false" ht="15" hidden="false" customHeight="false" outlineLevel="0" collapsed="false">
      <c r="A7" s="5" t="s">
        <v>326</v>
      </c>
      <c r="B7" s="5" t="s">
        <v>327</v>
      </c>
      <c r="C7" s="10" t="n">
        <f aca="false">'5 Medición mes'!G7*'4 Presupuesto control'!F7</f>
        <v>128864766.37734</v>
      </c>
      <c r="D7" s="10" t="n">
        <f aca="false">'5 Medición mes'!F7*'4 Presupuesto control'!G7</f>
        <v>151246875</v>
      </c>
      <c r="E7" s="10" t="n">
        <f aca="false">'5 Medición mes'!G7*'4 Presupuesto control'!G7</f>
        <v>124100000</v>
      </c>
      <c r="F7" s="10" t="n">
        <f aca="false">'7 Costo real mes'!I7</f>
        <v>125152500</v>
      </c>
      <c r="G7" s="10" t="n">
        <f aca="false">C7-F7</f>
        <v>3712266.37733999</v>
      </c>
      <c r="H7" s="14" t="n">
        <f aca="false">IFERROR(G7/C7,0)</f>
        <v>0.0288074582502232</v>
      </c>
      <c r="I7" s="14" t="n">
        <f aca="false">'4 Presupuesto control'!N7</f>
        <v>0.0369749351299631</v>
      </c>
      <c r="J7" s="21" t="n">
        <f aca="false">IFERROR(E7/F7,0)</f>
        <v>0.991590259882943</v>
      </c>
      <c r="K7" s="21" t="n">
        <f aca="false">IFERROR(E7/D7,0)</f>
        <v>0.820512820512821</v>
      </c>
      <c r="L7" s="10" t="n">
        <f aca="false">IFERROR('4 Presupuesto control'!L7/J7,0)</f>
        <v>305059218.75</v>
      </c>
      <c r="M7" s="10" t="n">
        <f aca="false">'4 Presupuesto control'!K7-L7</f>
        <v>9048649.29476625</v>
      </c>
      <c r="N7" s="5" t="str">
        <f aca="false">IF(J7&lt;0.95,"Sobrecosto",IF(J7&lt;1,"Leve sobrecosto","Costo OK"))&amp;" · "&amp;IF(K7&lt;0.9,"Atrasado",IF(K7&lt;1,"Leve atraso","En plazo"))</f>
        <v>Leve sobrecosto · Atrasado</v>
      </c>
    </row>
    <row r="8" customFormat="false" ht="15" hidden="false" customHeight="false" outlineLevel="0" collapsed="false">
      <c r="A8" s="5" t="s">
        <v>328</v>
      </c>
      <c r="B8" s="5" t="s">
        <v>329</v>
      </c>
      <c r="C8" s="10" t="n">
        <f aca="false">'5 Medición mes'!G8*'4 Presupuesto control'!F8</f>
        <v>207851921.015235</v>
      </c>
      <c r="D8" s="10" t="n">
        <f aca="false">'5 Medición mes'!F8*'4 Presupuesto control'!G8</f>
        <v>224418000</v>
      </c>
      <c r="E8" s="10" t="n">
        <f aca="false">'5 Medición mes'!G8*'4 Presupuesto control'!G8</f>
        <v>196620000</v>
      </c>
      <c r="F8" s="10" t="n">
        <f aca="false">'7 Costo real mes'!I8</f>
        <v>201770000</v>
      </c>
      <c r="G8" s="10" t="n">
        <f aca="false">C8-F8</f>
        <v>6081921.01523501</v>
      </c>
      <c r="H8" s="14" t="n">
        <f aca="false">IFERROR(G8/C8,0)</f>
        <v>0.02926083620266</v>
      </c>
      <c r="I8" s="14" t="n">
        <f aca="false">'4 Presupuesto control'!N8</f>
        <v>0.0540380909657878</v>
      </c>
      <c r="J8" s="21" t="n">
        <f aca="false">IFERROR(E8/F8,0)</f>
        <v>0.974475888387768</v>
      </c>
      <c r="K8" s="21" t="n">
        <f aca="false">IFERROR(E8/D8,0)</f>
        <v>0.876132930513595</v>
      </c>
      <c r="L8" s="10" t="n">
        <f aca="false">IFERROR('4 Presupuesto control'!L8/J8,0)</f>
        <v>460592206.896552</v>
      </c>
      <c r="M8" s="10" t="n">
        <f aca="false">'4 Presupuesto control'!K8-L8</f>
        <v>13883557.6278813</v>
      </c>
      <c r="N8" s="5" t="str">
        <f aca="false">IF(J8&lt;0.95,"Sobrecosto",IF(J8&lt;1,"Leve sobrecosto","Costo OK"))&amp;" · "&amp;IF(K8&lt;0.9,"Atrasado",IF(K8&lt;1,"Leve atraso","En plazo"))</f>
        <v>Leve sobrecosto · Atrasado</v>
      </c>
    </row>
    <row r="9" customFormat="false" ht="15" hidden="false" customHeight="false" outlineLevel="0" collapsed="false">
      <c r="A9" s="2"/>
      <c r="B9" s="6" t="s">
        <v>372</v>
      </c>
      <c r="C9" s="17" t="n">
        <f aca="false">SUM(C5:C8)</f>
        <v>351435334.560508</v>
      </c>
      <c r="D9" s="17" t="n">
        <f aca="false">SUM(D5:D8)</f>
        <v>385961075</v>
      </c>
      <c r="E9" s="17" t="n">
        <f aca="false">SUM(E5:E8)</f>
        <v>332085330</v>
      </c>
      <c r="F9" s="17" t="n">
        <f aca="false">SUM(F5:F8)</f>
        <v>338287830</v>
      </c>
      <c r="G9" s="17" t="n">
        <f aca="false">SUM(G5:G8)</f>
        <v>13147504.5605079</v>
      </c>
      <c r="H9" s="18" t="n">
        <f aca="false">IFERROR(G9/C9,0)</f>
        <v>0.0374108783823622</v>
      </c>
      <c r="I9" s="2"/>
      <c r="J9" s="22" t="n">
        <f aca="false">IFERROR(E9/F9,0)</f>
        <v>0.981665021765637</v>
      </c>
      <c r="K9" s="22" t="n">
        <f aca="false">IFERROR(E9/D9,0)</f>
        <v>0.860411454704338</v>
      </c>
      <c r="L9" s="17" t="n">
        <f aca="false">SUM(L5:L8)</f>
        <v>789220773.136552</v>
      </c>
      <c r="M9" s="17" t="n">
        <f aca="false">SUM(M5:M8)</f>
        <v>30148542.4909647</v>
      </c>
      <c r="N9" s="2"/>
    </row>
    <row r="10" customFormat="false" ht="15" hidden="false" customHeight="false" outlineLevel="0" collapsed="false">
      <c r="A10" s="2"/>
      <c r="B10" s="5" t="s">
        <v>389</v>
      </c>
      <c r="C10" s="2"/>
      <c r="D10" s="2"/>
      <c r="E10" s="2"/>
      <c r="F10" s="10" t="n">
        <f aca="false">'7 Costo real mes'!I10</f>
        <v>562670</v>
      </c>
      <c r="G10" s="10" t="n">
        <f aca="false">-F10</f>
        <v>-562670</v>
      </c>
      <c r="H10" s="2"/>
      <c r="I10" s="2"/>
      <c r="J10" s="2"/>
      <c r="K10" s="2"/>
      <c r="L10" s="2"/>
      <c r="M10" s="2"/>
      <c r="N10" s="2"/>
    </row>
    <row r="11" customFormat="false" ht="15" hidden="false" customHeight="false" outlineLevel="0" collapsed="false">
      <c r="A11" s="2"/>
      <c r="B11" s="6" t="s">
        <v>390</v>
      </c>
      <c r="C11" s="17" t="n">
        <f aca="false">C9</f>
        <v>351435334.560508</v>
      </c>
      <c r="D11" s="2"/>
      <c r="E11" s="2"/>
      <c r="F11" s="17" t="n">
        <f aca="false">F9+F10</f>
        <v>338850500</v>
      </c>
      <c r="G11" s="17" t="n">
        <f aca="false">C11-F11</f>
        <v>12584834.5605079</v>
      </c>
      <c r="H11" s="18" t="n">
        <f aca="false">IFERROR(G11/C11,0)</f>
        <v>0.0358098156983731</v>
      </c>
      <c r="I11" s="2"/>
      <c r="J11" s="2"/>
      <c r="K11" s="2"/>
      <c r="L11" s="2"/>
      <c r="M11" s="2"/>
      <c r="N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5" hidden="false" customHeight="false" outlineLevel="0" collapsed="false">
      <c r="A13" s="8" t="s">
        <v>391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15" hidden="false" customHeight="false" outlineLevel="0" collapsed="false">
      <c r="A14" s="9" t="s">
        <v>392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15" hidden="false" customHeight="false" outlineLevel="0" collapsed="false">
      <c r="A15" s="9" t="s">
        <v>393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customFormat="false" ht="15" hidden="false" customHeight="false" outlineLevel="0" collapsed="false">
      <c r="A16" s="9" t="s">
        <v>394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15" hidden="false" customHeight="false" outlineLevel="0" collapsed="false">
      <c r="A17" s="9" t="s">
        <v>395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</sheetData>
  <conditionalFormatting sqref="J5:K9">
    <cfRule type="cellIs" priority="2" operator="lessThan" aboveAverage="0" equalAverage="0" bottom="0" percent="0" rank="0" text="" dxfId="0">
      <formula>0.95</formula>
    </cfRule>
    <cfRule type="cellIs" priority="3" operator="greaterThanOrEqual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2026-09-27T15:13:06Z</dcterms:created>
  <dc:creator>openpyxl</dc:creator>
  <dc:description/>
  <dc:language>en-US</dc:language>
  <cp:lastModifiedBy/>
  <dcterms:modified xsi:type="dcterms:W3CDTF">2026-09-27T15:13:06Z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